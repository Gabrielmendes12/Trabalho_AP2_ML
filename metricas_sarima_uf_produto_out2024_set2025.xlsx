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676ee97046c62ee/Documents/Ivo/IBMEC/8° Período/Projeto Machine Learning/Ap2/Organizado/"/>
    </mc:Choice>
  </mc:AlternateContent>
  <xr:revisionPtr revIDLastSave="141" documentId="11_E166923500696FD4E46420FA5F3D01F962997B5F" xr6:coauthVersionLast="47" xr6:coauthVersionMax="47" xr10:uidLastSave="{9D5208AE-286B-465A-A460-417434E4374E}"/>
  <bookViews>
    <workbookView xWindow="-108" yWindow="-108" windowWidth="23256" windowHeight="12456" activeTab="6" xr2:uid="{00000000-000D-0000-FFFF-FFFF00000000}"/>
  </bookViews>
  <sheets>
    <sheet name="Sheet 1" sheetId="1" r:id="rId1"/>
    <sheet name="Etanol" sheetId="2" r:id="rId2"/>
    <sheet name="Gasolina C" sheetId="3" r:id="rId3"/>
    <sheet name="GLP" sheetId="4" r:id="rId4"/>
    <sheet name="Querosene" sheetId="5" r:id="rId5"/>
    <sheet name="G Aviação" sheetId="6" r:id="rId6"/>
    <sheet name="Óleo Diesel" sheetId="7" r:id="rId7"/>
    <sheet name="Sheet1" sheetId="8" r:id="rId8"/>
  </sheets>
  <definedNames>
    <definedName name="_xlnm._FilterDatabase" localSheetId="1" hidden="1">Etanol!$A$1:$K$28</definedName>
    <definedName name="_xlnm._FilterDatabase" localSheetId="0" hidden="1">'Sheet 1'!$A$1:$K$163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S2" i="1"/>
  <c r="T2" i="1"/>
  <c r="U2" i="1"/>
  <c r="V2" i="1"/>
  <c r="W2" i="1"/>
  <c r="R3" i="1"/>
  <c r="S3" i="1"/>
  <c r="T3" i="1"/>
  <c r="U3" i="1"/>
  <c r="V3" i="1"/>
  <c r="W3" i="1"/>
  <c r="Q3" i="1"/>
  <c r="Q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2" i="1"/>
  <c r="J32" i="2"/>
  <c r="I32" i="2"/>
  <c r="H32" i="2"/>
  <c r="G32" i="2"/>
  <c r="F32" i="2"/>
  <c r="E32" i="2"/>
  <c r="D32" i="2"/>
  <c r="J31" i="2"/>
  <c r="I31" i="2"/>
  <c r="H31" i="2"/>
  <c r="G31" i="2"/>
  <c r="F31" i="2"/>
  <c r="E31" i="2"/>
  <c r="D31" i="2"/>
  <c r="J32" i="3"/>
  <c r="I32" i="3"/>
  <c r="H32" i="3"/>
  <c r="G32" i="3"/>
  <c r="F32" i="3"/>
  <c r="E32" i="3"/>
  <c r="D32" i="3"/>
  <c r="J31" i="3"/>
  <c r="I31" i="3"/>
  <c r="H31" i="3"/>
  <c r="G31" i="3"/>
  <c r="F31" i="3"/>
  <c r="E31" i="3"/>
  <c r="D31" i="3"/>
  <c r="J33" i="4"/>
  <c r="I33" i="4"/>
  <c r="H33" i="4"/>
  <c r="G33" i="4"/>
  <c r="F33" i="4"/>
  <c r="E33" i="4"/>
  <c r="D33" i="4"/>
  <c r="J32" i="4"/>
  <c r="I32" i="4"/>
  <c r="H32" i="4"/>
  <c r="G32" i="4"/>
  <c r="F32" i="4"/>
  <c r="E32" i="4"/>
  <c r="D32" i="4"/>
  <c r="J33" i="5"/>
  <c r="I33" i="5"/>
  <c r="H33" i="5"/>
  <c r="G33" i="5"/>
  <c r="F33" i="5"/>
  <c r="E33" i="5"/>
  <c r="D33" i="5"/>
  <c r="J32" i="5"/>
  <c r="I32" i="5"/>
  <c r="H32" i="5"/>
  <c r="G32" i="5"/>
  <c r="F32" i="5"/>
  <c r="E32" i="5"/>
  <c r="D32" i="5"/>
  <c r="J32" i="6"/>
  <c r="I32" i="6"/>
  <c r="H32" i="6"/>
  <c r="G32" i="6"/>
  <c r="F32" i="6"/>
  <c r="E32" i="6"/>
  <c r="D32" i="6"/>
  <c r="J31" i="6"/>
  <c r="I31" i="6"/>
  <c r="H31" i="6"/>
  <c r="G31" i="6"/>
  <c r="F31" i="6"/>
  <c r="E31" i="6"/>
  <c r="D31" i="6"/>
  <c r="E33" i="7"/>
  <c r="F33" i="7"/>
  <c r="G33" i="7"/>
  <c r="H33" i="7"/>
  <c r="I33" i="7"/>
  <c r="J33" i="7"/>
  <c r="D33" i="7"/>
  <c r="E32" i="7"/>
  <c r="F32" i="7"/>
  <c r="G32" i="7"/>
  <c r="H32" i="7"/>
  <c r="I32" i="7"/>
  <c r="J32" i="7"/>
  <c r="D32" i="7"/>
</calcChain>
</file>

<file path=xl/sharedStrings.xml><?xml version="1.0" encoding="utf-8"?>
<sst xmlns="http://schemas.openxmlformats.org/spreadsheetml/2006/main" count="761" uniqueCount="53">
  <si>
    <t>UF</t>
  </si>
  <si>
    <t>Produto</t>
  </si>
  <si>
    <t>n_obs</t>
  </si>
  <si>
    <t>MAE</t>
  </si>
  <si>
    <t>RMSE</t>
  </si>
  <si>
    <t>MAPE</t>
  </si>
  <si>
    <t>sMAPE</t>
  </si>
  <si>
    <t>R2</t>
  </si>
  <si>
    <t>ME_bias</t>
  </si>
  <si>
    <t>TheilU</t>
  </si>
  <si>
    <t>tem_modelo</t>
  </si>
  <si>
    <t>SÃO PAULO</t>
  </si>
  <si>
    <t>GLP</t>
  </si>
  <si>
    <t>RONDÔNIA</t>
  </si>
  <si>
    <t>ACRE</t>
  </si>
  <si>
    <t>PARANÁ</t>
  </si>
  <si>
    <t>SANTA CATARINA</t>
  </si>
  <si>
    <t>GASOLINA C</t>
  </si>
  <si>
    <t>CEARÁ</t>
  </si>
  <si>
    <t>PARAÍBA</t>
  </si>
  <si>
    <t>MATO GROSSO DO SUL</t>
  </si>
  <si>
    <t>MATO GROSSO</t>
  </si>
  <si>
    <t>GOIÁS</t>
  </si>
  <si>
    <t>PARÁ</t>
  </si>
  <si>
    <t>AMAPÁ</t>
  </si>
  <si>
    <t>BAHIA</t>
  </si>
  <si>
    <t>AMAZONAS</t>
  </si>
  <si>
    <t>TOCANTINS</t>
  </si>
  <si>
    <t>MARANHÃO</t>
  </si>
  <si>
    <t>PERNAMBUCO</t>
  </si>
  <si>
    <t>MINAS GERAIS</t>
  </si>
  <si>
    <t>ÓLEO DIESEL</t>
  </si>
  <si>
    <t>RIO DE JANEIRO</t>
  </si>
  <si>
    <t>SERGIPE</t>
  </si>
  <si>
    <t>RIO GRANDE DO SUL</t>
  </si>
  <si>
    <t>ALAGOAS</t>
  </si>
  <si>
    <t>ETANOL HIDRATADO</t>
  </si>
  <si>
    <t>RIO GRANDE DO NORTE</t>
  </si>
  <si>
    <t>ESPÍRITO SANTO</t>
  </si>
  <si>
    <t>DISTRITO FEDERAL</t>
  </si>
  <si>
    <t>PIAUÍ</t>
  </si>
  <si>
    <t>QUEROSENE DE AVIAÇÃO</t>
  </si>
  <si>
    <t>RORAIMA</t>
  </si>
  <si>
    <t>GASOLINA DE AVIAÇÃO</t>
  </si>
  <si>
    <t>MEAN</t>
  </si>
  <si>
    <t>MEDIAN</t>
  </si>
  <si>
    <t>MEDIA</t>
  </si>
  <si>
    <t>MEDIANA</t>
  </si>
  <si>
    <t>Etanol</t>
  </si>
  <si>
    <t>Gasolina C</t>
  </si>
  <si>
    <t>Querosene</t>
  </si>
  <si>
    <t>Gasolina Aviação</t>
  </si>
  <si>
    <t>Óleo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</si>
</sst>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0_);_(* \(#,##0.000000\);_(* &quot;-&quot;??_);_(@_)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7"/>
  <sheetViews>
    <sheetView topLeftCell="C143" workbookViewId="0">
      <selection activeCell="V7" sqref="V7"/>
    </sheetView>
  </sheetViews>
  <sheetFormatPr defaultColWidth="11.5546875" defaultRowHeight="14.4" x14ac:dyDescent="0.3"/>
  <cols>
    <col min="3" max="3" width="5.88671875" bestFit="1" customWidth="1"/>
    <col min="4" max="5" width="13.21875" bestFit="1" customWidth="1"/>
    <col min="6" max="7" width="12" bestFit="1" customWidth="1"/>
    <col min="8" max="8" width="12.6640625" bestFit="1" customWidth="1"/>
    <col min="9" max="9" width="13.77734375" bestFit="1" customWidth="1"/>
    <col min="10" max="10" width="12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</row>
    <row r="2" spans="1:23" x14ac:dyDescent="0.3">
      <c r="A2" t="s">
        <v>14</v>
      </c>
      <c r="B2" t="s">
        <v>36</v>
      </c>
      <c r="C2">
        <v>12</v>
      </c>
      <c r="D2">
        <v>228.06410834443</v>
      </c>
      <c r="E2">
        <v>254.321320300601</v>
      </c>
      <c r="F2">
        <v>11.0033404753177</v>
      </c>
      <c r="G2">
        <v>11.785718448968799</v>
      </c>
      <c r="H2">
        <v>-3.87534365003925</v>
      </c>
      <c r="I2">
        <v>-228.06410834443</v>
      </c>
      <c r="J2">
        <v>1.73272965801001</v>
      </c>
      <c r="K2" t="b">
        <v>1</v>
      </c>
      <c r="L2">
        <f>IF(H2&lt;0,1,0)</f>
        <v>1</v>
      </c>
      <c r="P2" t="s">
        <v>44</v>
      </c>
      <c r="Q2">
        <f>AVERAGE(D2:D163)</f>
        <v>3816.6690479561298</v>
      </c>
      <c r="R2">
        <f t="shared" ref="R2:W2" si="0">AVERAGE(E2:E163)</f>
        <v>4587.4679677894819</v>
      </c>
      <c r="S2">
        <f t="shared" si="0"/>
        <v>20.524276534858114</v>
      </c>
      <c r="T2">
        <f t="shared" si="0"/>
        <v>16.183013451032561</v>
      </c>
      <c r="U2">
        <f t="shared" si="0"/>
        <v>-0.98039766722547883</v>
      </c>
      <c r="V2">
        <f t="shared" si="0"/>
        <v>-1131.1199671086813</v>
      </c>
      <c r="W2">
        <f t="shared" si="0"/>
        <v>1.1490889659373928</v>
      </c>
    </row>
    <row r="3" spans="1:23" x14ac:dyDescent="0.3">
      <c r="A3" t="s">
        <v>35</v>
      </c>
      <c r="B3" t="s">
        <v>36</v>
      </c>
      <c r="C3">
        <v>12</v>
      </c>
      <c r="D3">
        <v>499.95458550119997</v>
      </c>
      <c r="E3">
        <v>679.04352143645303</v>
      </c>
      <c r="F3">
        <v>7.8537548520086196</v>
      </c>
      <c r="G3">
        <v>8.0315682982132692</v>
      </c>
      <c r="H3">
        <v>0.29582564463165101</v>
      </c>
      <c r="I3">
        <v>-126.57115335991701</v>
      </c>
      <c r="J3">
        <v>0.85733398010158801</v>
      </c>
      <c r="K3" t="b">
        <v>1</v>
      </c>
      <c r="L3">
        <f t="shared" ref="L3:L66" si="1">IF(H3&lt;0,1,0)</f>
        <v>0</v>
      </c>
      <c r="P3" t="s">
        <v>45</v>
      </c>
      <c r="Q3">
        <f>MEDIAN(D2:D163)</f>
        <v>1394.71420842816</v>
      </c>
      <c r="R3">
        <f t="shared" ref="R3:W3" si="2">MEDIAN(E2:E163)</f>
        <v>1720.5748697628101</v>
      </c>
      <c r="S3">
        <f t="shared" si="2"/>
        <v>6.4054802672112245</v>
      </c>
      <c r="T3">
        <f t="shared" si="2"/>
        <v>6.5896919868450095</v>
      </c>
      <c r="U3">
        <f t="shared" si="2"/>
        <v>3.4437084375167251E-2</v>
      </c>
      <c r="V3">
        <f t="shared" si="2"/>
        <v>-60.773428763035348</v>
      </c>
      <c r="W3">
        <f t="shared" si="2"/>
        <v>0.81476437200751151</v>
      </c>
    </row>
    <row r="4" spans="1:23" x14ac:dyDescent="0.3">
      <c r="A4" t="s">
        <v>24</v>
      </c>
      <c r="B4" t="s">
        <v>36</v>
      </c>
      <c r="C4">
        <v>12</v>
      </c>
      <c r="D4">
        <v>77.988785230139996</v>
      </c>
      <c r="E4">
        <v>85.723447314339097</v>
      </c>
      <c r="F4">
        <v>39.674703624755999</v>
      </c>
      <c r="G4">
        <v>36.797224612651803</v>
      </c>
      <c r="H4">
        <v>-4.87245386672706</v>
      </c>
      <c r="I4">
        <v>33.950740970581499</v>
      </c>
      <c r="J4">
        <v>2.08177015686364</v>
      </c>
      <c r="K4" t="b">
        <v>1</v>
      </c>
      <c r="L4">
        <f t="shared" si="1"/>
        <v>1</v>
      </c>
    </row>
    <row r="5" spans="1:23" x14ac:dyDescent="0.3">
      <c r="A5" t="s">
        <v>26</v>
      </c>
      <c r="B5" t="s">
        <v>36</v>
      </c>
      <c r="C5">
        <v>12</v>
      </c>
      <c r="D5">
        <v>2681.2085622609502</v>
      </c>
      <c r="E5">
        <v>3157.6118373763402</v>
      </c>
      <c r="F5">
        <v>15.868277239286501</v>
      </c>
      <c r="G5">
        <v>14.2836436935925</v>
      </c>
      <c r="H5">
        <v>-2.35757770441717</v>
      </c>
      <c r="I5">
        <v>2273.8164380644798</v>
      </c>
      <c r="J5">
        <v>2.8282036892709099</v>
      </c>
      <c r="K5" t="b">
        <v>1</v>
      </c>
      <c r="L5">
        <f t="shared" si="1"/>
        <v>1</v>
      </c>
    </row>
    <row r="6" spans="1:23" x14ac:dyDescent="0.3">
      <c r="A6" t="s">
        <v>25</v>
      </c>
      <c r="B6" t="s">
        <v>36</v>
      </c>
      <c r="C6">
        <v>12</v>
      </c>
      <c r="D6">
        <v>7840.08474192834</v>
      </c>
      <c r="E6">
        <v>8938.2159061089096</v>
      </c>
      <c r="F6">
        <v>13.4796992542739</v>
      </c>
      <c r="G6">
        <v>14.6500504985489</v>
      </c>
      <c r="H6">
        <v>-1.5474190653278701</v>
      </c>
      <c r="I6">
        <v>-7840.08474192834</v>
      </c>
      <c r="J6">
        <v>1.68525405533071</v>
      </c>
      <c r="K6" t="b">
        <v>1</v>
      </c>
      <c r="L6">
        <f t="shared" si="1"/>
        <v>1</v>
      </c>
    </row>
    <row r="7" spans="1:23" x14ac:dyDescent="0.3">
      <c r="A7" t="s">
        <v>18</v>
      </c>
      <c r="B7" t="s">
        <v>36</v>
      </c>
      <c r="C7">
        <v>12</v>
      </c>
      <c r="D7">
        <v>3093.49490167365</v>
      </c>
      <c r="E7">
        <v>3669.8128958898401</v>
      </c>
      <c r="F7">
        <v>19.611114000241901</v>
      </c>
      <c r="G7">
        <v>22.4129282315428</v>
      </c>
      <c r="H7">
        <v>-2.50606353046927</v>
      </c>
      <c r="I7">
        <v>-3093.49490167365</v>
      </c>
      <c r="J7">
        <v>1.43287353156367</v>
      </c>
      <c r="K7" t="b">
        <v>1</v>
      </c>
      <c r="L7">
        <f t="shared" si="1"/>
        <v>1</v>
      </c>
    </row>
    <row r="8" spans="1:23" x14ac:dyDescent="0.3">
      <c r="A8" t="s">
        <v>39</v>
      </c>
      <c r="B8" t="s">
        <v>36</v>
      </c>
      <c r="C8">
        <v>12</v>
      </c>
      <c r="D8">
        <v>2517.0452092248102</v>
      </c>
      <c r="E8">
        <v>3416.72731210654</v>
      </c>
      <c r="F8">
        <v>8.26490146360754</v>
      </c>
      <c r="G8">
        <v>8.7482995180433907</v>
      </c>
      <c r="H8">
        <v>0.35029369076546102</v>
      </c>
      <c r="I8">
        <v>-1802.0862690060001</v>
      </c>
      <c r="J8">
        <v>1.7930526498310699</v>
      </c>
      <c r="K8" t="b">
        <v>1</v>
      </c>
      <c r="L8">
        <f t="shared" si="1"/>
        <v>0</v>
      </c>
    </row>
    <row r="9" spans="1:23" x14ac:dyDescent="0.3">
      <c r="A9" t="s">
        <v>38</v>
      </c>
      <c r="B9" t="s">
        <v>36</v>
      </c>
      <c r="C9">
        <v>12</v>
      </c>
      <c r="D9">
        <v>1881.1116200865199</v>
      </c>
      <c r="E9">
        <v>2144.1996106461502</v>
      </c>
      <c r="F9">
        <v>13.5547726693682</v>
      </c>
      <c r="G9">
        <v>14.804876348565401</v>
      </c>
      <c r="H9">
        <v>-3.3549922263626599</v>
      </c>
      <c r="I9">
        <v>-1881.1116200865199</v>
      </c>
      <c r="J9">
        <v>1.9000974714666501</v>
      </c>
      <c r="K9" t="b">
        <v>1</v>
      </c>
      <c r="L9">
        <f t="shared" si="1"/>
        <v>1</v>
      </c>
    </row>
    <row r="10" spans="1:23" x14ac:dyDescent="0.3">
      <c r="A10" t="s">
        <v>22</v>
      </c>
      <c r="B10" t="s">
        <v>36</v>
      </c>
      <c r="C10">
        <v>12</v>
      </c>
      <c r="D10">
        <v>7709.0759144431804</v>
      </c>
      <c r="E10">
        <v>8796.8230624526495</v>
      </c>
      <c r="F10">
        <v>5.6536199884600302</v>
      </c>
      <c r="G10">
        <v>5.5053852457316701</v>
      </c>
      <c r="H10">
        <v>-3.5959829611258903E-2</v>
      </c>
      <c r="I10">
        <v>3578.7837996380199</v>
      </c>
      <c r="J10">
        <v>1.02595667122122</v>
      </c>
      <c r="K10" t="b">
        <v>1</v>
      </c>
      <c r="L10">
        <f t="shared" si="1"/>
        <v>1</v>
      </c>
    </row>
    <row r="11" spans="1:23" x14ac:dyDescent="0.3">
      <c r="A11" t="s">
        <v>28</v>
      </c>
      <c r="B11" t="s">
        <v>36</v>
      </c>
      <c r="C11">
        <v>12</v>
      </c>
      <c r="D11">
        <v>1882.6476730185</v>
      </c>
      <c r="E11">
        <v>1915.3802753555401</v>
      </c>
      <c r="F11">
        <v>31.587323056682202</v>
      </c>
      <c r="G11">
        <v>37.654282502066302</v>
      </c>
      <c r="H11">
        <v>-28.042874874212298</v>
      </c>
      <c r="I11">
        <v>-1882.6476730185</v>
      </c>
      <c r="J11">
        <v>4.8309100065542401</v>
      </c>
      <c r="K11" t="b">
        <v>1</v>
      </c>
      <c r="L11">
        <f t="shared" si="1"/>
        <v>1</v>
      </c>
    </row>
    <row r="12" spans="1:23" x14ac:dyDescent="0.3">
      <c r="A12" t="s">
        <v>21</v>
      </c>
      <c r="B12" t="s">
        <v>36</v>
      </c>
      <c r="C12">
        <v>12</v>
      </c>
      <c r="D12">
        <v>3894.5294120711401</v>
      </c>
      <c r="E12">
        <v>4777.60670629793</v>
      </c>
      <c r="F12">
        <v>4.0819631564851697</v>
      </c>
      <c r="G12">
        <v>4.1301758424188497</v>
      </c>
      <c r="H12">
        <v>0.30982870000524798</v>
      </c>
      <c r="I12">
        <v>-883.44145159647701</v>
      </c>
      <c r="J12">
        <v>0.64276998477298497</v>
      </c>
      <c r="K12" t="b">
        <v>1</v>
      </c>
      <c r="L12">
        <f t="shared" si="1"/>
        <v>0</v>
      </c>
    </row>
    <row r="13" spans="1:23" x14ac:dyDescent="0.3">
      <c r="A13" t="s">
        <v>20</v>
      </c>
      <c r="B13" t="s">
        <v>36</v>
      </c>
      <c r="C13">
        <v>12</v>
      </c>
      <c r="D13">
        <v>2650.1668511040202</v>
      </c>
      <c r="E13">
        <v>3039.8050283417501</v>
      </c>
      <c r="F13">
        <v>9.0049439438216492</v>
      </c>
      <c r="G13">
        <v>8.6163592865100398</v>
      </c>
      <c r="H13">
        <v>-0.50410768044408405</v>
      </c>
      <c r="I13">
        <v>1356.32346196807</v>
      </c>
      <c r="J13">
        <v>1.25238592322622</v>
      </c>
      <c r="K13" t="b">
        <v>1</v>
      </c>
      <c r="L13">
        <f t="shared" si="1"/>
        <v>1</v>
      </c>
    </row>
    <row r="14" spans="1:23" x14ac:dyDescent="0.3">
      <c r="A14" t="s">
        <v>30</v>
      </c>
      <c r="B14" t="s">
        <v>36</v>
      </c>
      <c r="C14">
        <v>12</v>
      </c>
      <c r="D14">
        <v>11340.460755202001</v>
      </c>
      <c r="E14">
        <v>13002.1908189511</v>
      </c>
      <c r="F14">
        <v>6.0327433040120004</v>
      </c>
      <c r="G14">
        <v>5.8405285008236199</v>
      </c>
      <c r="H14">
        <v>0.12743243934700399</v>
      </c>
      <c r="I14">
        <v>7806.0661637418198</v>
      </c>
      <c r="J14">
        <v>0.94561899792337001</v>
      </c>
      <c r="K14" t="b">
        <v>1</v>
      </c>
      <c r="L14">
        <f t="shared" si="1"/>
        <v>0</v>
      </c>
    </row>
    <row r="15" spans="1:23" x14ac:dyDescent="0.3">
      <c r="A15" t="s">
        <v>23</v>
      </c>
      <c r="B15" t="s">
        <v>36</v>
      </c>
      <c r="C15">
        <v>12</v>
      </c>
      <c r="D15">
        <v>687.82907467018299</v>
      </c>
      <c r="E15">
        <v>847.65665633829701</v>
      </c>
      <c r="F15">
        <v>6.0604226704626702</v>
      </c>
      <c r="G15">
        <v>6.3249075376138801</v>
      </c>
      <c r="H15">
        <v>-1.0704749605803601</v>
      </c>
      <c r="I15">
        <v>-573.60584022645696</v>
      </c>
      <c r="J15">
        <v>1.1246003018107</v>
      </c>
      <c r="K15" t="b">
        <v>1</v>
      </c>
      <c r="L15">
        <f t="shared" si="1"/>
        <v>1</v>
      </c>
    </row>
    <row r="16" spans="1:23" x14ac:dyDescent="0.3">
      <c r="A16" t="s">
        <v>19</v>
      </c>
      <c r="B16" t="s">
        <v>36</v>
      </c>
      <c r="C16">
        <v>12</v>
      </c>
      <c r="D16">
        <v>2798.3767273325002</v>
      </c>
      <c r="E16">
        <v>3218.0773092039999</v>
      </c>
      <c r="F16">
        <v>16.8528595619138</v>
      </c>
      <c r="G16">
        <v>18.7533809569053</v>
      </c>
      <c r="H16">
        <v>-1.9562322135852801</v>
      </c>
      <c r="I16">
        <v>-2798.3767273325002</v>
      </c>
      <c r="J16">
        <v>1.87845247075595</v>
      </c>
      <c r="K16" t="b">
        <v>1</v>
      </c>
      <c r="L16">
        <f t="shared" si="1"/>
        <v>1</v>
      </c>
    </row>
    <row r="17" spans="1:12" x14ac:dyDescent="0.3">
      <c r="A17" t="s">
        <v>15</v>
      </c>
      <c r="B17" t="s">
        <v>36</v>
      </c>
      <c r="C17">
        <v>12</v>
      </c>
      <c r="D17">
        <v>6676.1618758374598</v>
      </c>
      <c r="E17">
        <v>7663.3179824706303</v>
      </c>
      <c r="F17">
        <v>5.91988221434669</v>
      </c>
      <c r="G17">
        <v>6.0927346276527201</v>
      </c>
      <c r="H17">
        <v>0.20831747696675601</v>
      </c>
      <c r="I17">
        <v>-4738.7689473933397</v>
      </c>
      <c r="J17">
        <v>0.979163755350139</v>
      </c>
      <c r="K17" t="b">
        <v>1</v>
      </c>
      <c r="L17">
        <f t="shared" si="1"/>
        <v>0</v>
      </c>
    </row>
    <row r="18" spans="1:12" x14ac:dyDescent="0.3">
      <c r="A18" t="s">
        <v>29</v>
      </c>
      <c r="B18" t="s">
        <v>36</v>
      </c>
      <c r="C18">
        <v>12</v>
      </c>
      <c r="D18">
        <v>3112.9730246650201</v>
      </c>
      <c r="E18">
        <v>3335.8200760039899</v>
      </c>
      <c r="F18">
        <v>11.6697392060402</v>
      </c>
      <c r="G18">
        <v>12.487141135448301</v>
      </c>
      <c r="H18">
        <v>-3.53736280224508</v>
      </c>
      <c r="I18">
        <v>-3112.9730246650201</v>
      </c>
      <c r="J18">
        <v>1.48493297331814</v>
      </c>
      <c r="K18" t="b">
        <v>1</v>
      </c>
      <c r="L18">
        <f t="shared" si="1"/>
        <v>1</v>
      </c>
    </row>
    <row r="19" spans="1:12" x14ac:dyDescent="0.3">
      <c r="A19" t="s">
        <v>40</v>
      </c>
      <c r="B19" t="s">
        <v>36</v>
      </c>
      <c r="C19">
        <v>12</v>
      </c>
      <c r="D19">
        <v>1669.94330918374</v>
      </c>
      <c r="E19">
        <v>2019.98896322886</v>
      </c>
      <c r="F19">
        <v>58.044787711183197</v>
      </c>
      <c r="G19">
        <v>39.740193727349997</v>
      </c>
      <c r="H19">
        <v>-1.7269304301508701</v>
      </c>
      <c r="I19">
        <v>1573.5947191862699</v>
      </c>
      <c r="J19">
        <v>1.9446953140057399</v>
      </c>
      <c r="K19" t="b">
        <v>1</v>
      </c>
      <c r="L19">
        <f t="shared" si="1"/>
        <v>1</v>
      </c>
    </row>
    <row r="20" spans="1:12" x14ac:dyDescent="0.3">
      <c r="A20" t="s">
        <v>32</v>
      </c>
      <c r="B20" t="s">
        <v>36</v>
      </c>
      <c r="C20">
        <v>12</v>
      </c>
      <c r="D20">
        <v>2946.9782164616099</v>
      </c>
      <c r="E20">
        <v>3540.30329563738</v>
      </c>
      <c r="F20">
        <v>3.04512016250741</v>
      </c>
      <c r="G20">
        <v>3.0830274351976201</v>
      </c>
      <c r="H20">
        <v>-0.171986976549416</v>
      </c>
      <c r="I20">
        <v>-1021.14993492548</v>
      </c>
      <c r="J20">
        <v>0.75093778386078003</v>
      </c>
      <c r="K20" t="b">
        <v>1</v>
      </c>
      <c r="L20">
        <f t="shared" si="1"/>
        <v>1</v>
      </c>
    </row>
    <row r="21" spans="1:12" x14ac:dyDescent="0.3">
      <c r="A21" t="s">
        <v>37</v>
      </c>
      <c r="B21" t="s">
        <v>36</v>
      </c>
      <c r="C21">
        <v>12</v>
      </c>
      <c r="D21">
        <v>738.18024112035698</v>
      </c>
      <c r="E21">
        <v>789.76087328937297</v>
      </c>
      <c r="F21">
        <v>15.5569559714178</v>
      </c>
      <c r="G21">
        <v>15.926409922051</v>
      </c>
      <c r="H21">
        <v>-0.24095512492600099</v>
      </c>
      <c r="I21">
        <v>-252.45806710948901</v>
      </c>
      <c r="J21">
        <v>0.88788708112737003</v>
      </c>
      <c r="K21" t="b">
        <v>1</v>
      </c>
      <c r="L21">
        <f t="shared" si="1"/>
        <v>1</v>
      </c>
    </row>
    <row r="22" spans="1:12" x14ac:dyDescent="0.3">
      <c r="A22" t="s">
        <v>34</v>
      </c>
      <c r="B22" t="s">
        <v>36</v>
      </c>
      <c r="C22">
        <v>12</v>
      </c>
      <c r="D22">
        <v>1451.24143847551</v>
      </c>
      <c r="E22">
        <v>1792.7775596253</v>
      </c>
      <c r="F22">
        <v>12.2487866858971</v>
      </c>
      <c r="G22">
        <v>13.4301015853904</v>
      </c>
      <c r="H22">
        <v>-1.35962874814942</v>
      </c>
      <c r="I22">
        <v>-1367.19932909522</v>
      </c>
      <c r="J22">
        <v>2.0705369092936001</v>
      </c>
      <c r="K22" t="b">
        <v>1</v>
      </c>
      <c r="L22">
        <f t="shared" si="1"/>
        <v>1</v>
      </c>
    </row>
    <row r="23" spans="1:12" x14ac:dyDescent="0.3">
      <c r="A23" t="s">
        <v>13</v>
      </c>
      <c r="B23" t="s">
        <v>36</v>
      </c>
      <c r="C23">
        <v>12</v>
      </c>
      <c r="D23">
        <v>524.20464595863996</v>
      </c>
      <c r="E23">
        <v>628.94120028395605</v>
      </c>
      <c r="F23">
        <v>15.0788997794668</v>
      </c>
      <c r="G23">
        <v>16.812598268448799</v>
      </c>
      <c r="H23">
        <v>-3.34536454541642</v>
      </c>
      <c r="I23">
        <v>-524.20464595863996</v>
      </c>
      <c r="J23">
        <v>1.7729394097492099</v>
      </c>
      <c r="K23" t="b">
        <v>1</v>
      </c>
      <c r="L23">
        <f t="shared" si="1"/>
        <v>1</v>
      </c>
    </row>
    <row r="24" spans="1:12" x14ac:dyDescent="0.3">
      <c r="A24" t="s">
        <v>42</v>
      </c>
      <c r="B24" t="s">
        <v>36</v>
      </c>
      <c r="C24">
        <v>12</v>
      </c>
      <c r="D24">
        <v>978.30562122982303</v>
      </c>
      <c r="E24">
        <v>1076.08706379147</v>
      </c>
      <c r="F24">
        <v>74.476043295950603</v>
      </c>
      <c r="G24">
        <v>52.203433385108397</v>
      </c>
      <c r="H24">
        <v>-24.287489139520801</v>
      </c>
      <c r="I24">
        <v>880.51780976515295</v>
      </c>
      <c r="J24">
        <v>5.8619106690484202</v>
      </c>
      <c r="K24" t="b">
        <v>1</v>
      </c>
      <c r="L24">
        <f t="shared" si="1"/>
        <v>1</v>
      </c>
    </row>
    <row r="25" spans="1:12" x14ac:dyDescent="0.3">
      <c r="A25" t="s">
        <v>16</v>
      </c>
      <c r="B25" t="s">
        <v>36</v>
      </c>
      <c r="C25">
        <v>12</v>
      </c>
      <c r="D25">
        <v>4548.2585329809199</v>
      </c>
      <c r="E25">
        <v>5487.1458445140197</v>
      </c>
      <c r="F25">
        <v>15.940219357895501</v>
      </c>
      <c r="G25">
        <v>17.952334324703301</v>
      </c>
      <c r="H25">
        <v>-2.0247865895203199</v>
      </c>
      <c r="I25">
        <v>-4488.2529445583004</v>
      </c>
      <c r="J25">
        <v>2.7696924401650098</v>
      </c>
      <c r="K25" t="b">
        <v>1</v>
      </c>
      <c r="L25">
        <f t="shared" si="1"/>
        <v>1</v>
      </c>
    </row>
    <row r="26" spans="1:12" x14ac:dyDescent="0.3">
      <c r="A26" t="s">
        <v>11</v>
      </c>
      <c r="B26" t="s">
        <v>36</v>
      </c>
      <c r="C26">
        <v>12</v>
      </c>
      <c r="D26">
        <v>28684.716783622502</v>
      </c>
      <c r="E26">
        <v>31198.232388984499</v>
      </c>
      <c r="F26">
        <v>3.3075883176040599</v>
      </c>
      <c r="G26">
        <v>3.2920187794338598</v>
      </c>
      <c r="H26">
        <v>0.119320138118216</v>
      </c>
      <c r="I26">
        <v>4535.37323009173</v>
      </c>
      <c r="J26">
        <v>0.768612617219667</v>
      </c>
      <c r="K26" t="b">
        <v>1</v>
      </c>
      <c r="L26">
        <f t="shared" si="1"/>
        <v>0</v>
      </c>
    </row>
    <row r="27" spans="1:12" x14ac:dyDescent="0.3">
      <c r="A27" t="s">
        <v>33</v>
      </c>
      <c r="B27" t="s">
        <v>36</v>
      </c>
      <c r="C27">
        <v>12</v>
      </c>
      <c r="D27">
        <v>1734.38232498312</v>
      </c>
      <c r="E27">
        <v>1839.9247229550001</v>
      </c>
      <c r="F27">
        <v>31.895676772178401</v>
      </c>
      <c r="G27">
        <v>38.634673750151698</v>
      </c>
      <c r="H27">
        <v>-8.1754327251087808</v>
      </c>
      <c r="I27">
        <v>-1734.38232498312</v>
      </c>
      <c r="J27">
        <v>2.88128115042606</v>
      </c>
      <c r="K27" t="b">
        <v>1</v>
      </c>
      <c r="L27">
        <f t="shared" si="1"/>
        <v>1</v>
      </c>
    </row>
    <row r="28" spans="1:12" x14ac:dyDescent="0.3">
      <c r="A28" t="s">
        <v>27</v>
      </c>
      <c r="B28" t="s">
        <v>36</v>
      </c>
      <c r="C28">
        <v>12</v>
      </c>
      <c r="D28">
        <v>834.84599115520496</v>
      </c>
      <c r="E28">
        <v>915.25050486089299</v>
      </c>
      <c r="F28">
        <v>15.6783300633422</v>
      </c>
      <c r="G28">
        <v>17.237990401158701</v>
      </c>
      <c r="H28">
        <v>-2.1626290889029698</v>
      </c>
      <c r="I28">
        <v>-834.84599115520496</v>
      </c>
      <c r="J28">
        <v>1.37673856643003</v>
      </c>
      <c r="K28" t="b">
        <v>1</v>
      </c>
      <c r="L28">
        <f t="shared" si="1"/>
        <v>1</v>
      </c>
    </row>
    <row r="29" spans="1:12" x14ac:dyDescent="0.3">
      <c r="A29" t="s">
        <v>14</v>
      </c>
      <c r="B29" t="s">
        <v>17</v>
      </c>
      <c r="C29">
        <v>12</v>
      </c>
      <c r="D29">
        <v>360.97287321748399</v>
      </c>
      <c r="E29">
        <v>422.74447834990502</v>
      </c>
      <c r="F29">
        <v>2.9454208029906699</v>
      </c>
      <c r="G29">
        <v>2.9242960228680102</v>
      </c>
      <c r="H29">
        <v>0.74145098252306196</v>
      </c>
      <c r="I29">
        <v>82.757278690232695</v>
      </c>
      <c r="J29">
        <v>0.44329211213783098</v>
      </c>
      <c r="K29" t="b">
        <v>1</v>
      </c>
      <c r="L29">
        <f t="shared" si="1"/>
        <v>0</v>
      </c>
    </row>
    <row r="30" spans="1:12" x14ac:dyDescent="0.3">
      <c r="A30" t="s">
        <v>35</v>
      </c>
      <c r="B30" t="s">
        <v>17</v>
      </c>
      <c r="C30">
        <v>12</v>
      </c>
      <c r="D30">
        <v>1382.1310893514601</v>
      </c>
      <c r="E30">
        <v>1571.6303410169901</v>
      </c>
      <c r="F30">
        <v>3.0289485722774701</v>
      </c>
      <c r="G30">
        <v>3.0621990240664601</v>
      </c>
      <c r="H30">
        <v>0.55840788210340397</v>
      </c>
      <c r="I30">
        <v>-675.81487185390199</v>
      </c>
      <c r="J30">
        <v>0.42203369222168902</v>
      </c>
      <c r="K30" t="b">
        <v>1</v>
      </c>
      <c r="L30">
        <f t="shared" si="1"/>
        <v>0</v>
      </c>
    </row>
    <row r="31" spans="1:12" x14ac:dyDescent="0.3">
      <c r="A31" t="s">
        <v>24</v>
      </c>
      <c r="B31" t="s">
        <v>17</v>
      </c>
      <c r="C31">
        <v>12</v>
      </c>
      <c r="D31">
        <v>733.67786597368399</v>
      </c>
      <c r="E31">
        <v>876.82295286122098</v>
      </c>
      <c r="F31">
        <v>4.4690906344724404</v>
      </c>
      <c r="G31">
        <v>4.3405567496812596</v>
      </c>
      <c r="H31">
        <v>0.148303085777723</v>
      </c>
      <c r="I31">
        <v>639.272861064317</v>
      </c>
      <c r="J31">
        <v>0.82539321177076996</v>
      </c>
      <c r="K31" t="b">
        <v>1</v>
      </c>
      <c r="L31">
        <f t="shared" si="1"/>
        <v>0</v>
      </c>
    </row>
    <row r="32" spans="1:12" x14ac:dyDescent="0.3">
      <c r="A32" t="s">
        <v>26</v>
      </c>
      <c r="B32" t="s">
        <v>17</v>
      </c>
      <c r="C32">
        <v>12</v>
      </c>
      <c r="D32">
        <v>2602.3496689797298</v>
      </c>
      <c r="E32">
        <v>3043.75091677724</v>
      </c>
      <c r="F32">
        <v>5.0514738135610102</v>
      </c>
      <c r="G32">
        <v>5.0155872935614596</v>
      </c>
      <c r="H32">
        <v>0.407053166659678</v>
      </c>
      <c r="I32">
        <v>-183.37605959810099</v>
      </c>
      <c r="J32">
        <v>0.80971915405010897</v>
      </c>
      <c r="K32" t="b">
        <v>1</v>
      </c>
      <c r="L32">
        <f t="shared" si="1"/>
        <v>0</v>
      </c>
    </row>
    <row r="33" spans="1:12" x14ac:dyDescent="0.3">
      <c r="A33" t="s">
        <v>25</v>
      </c>
      <c r="B33" t="s">
        <v>17</v>
      </c>
      <c r="C33">
        <v>12</v>
      </c>
      <c r="D33">
        <v>5051.7290321292003</v>
      </c>
      <c r="E33">
        <v>6354.2890436431699</v>
      </c>
      <c r="F33">
        <v>2.49986196445305</v>
      </c>
      <c r="G33">
        <v>2.4690143570569698</v>
      </c>
      <c r="H33">
        <v>0.67995282024127002</v>
      </c>
      <c r="I33">
        <v>2284.5086115070299</v>
      </c>
      <c r="J33">
        <v>0.35296054587527598</v>
      </c>
      <c r="K33" t="b">
        <v>1</v>
      </c>
      <c r="L33">
        <f t="shared" si="1"/>
        <v>0</v>
      </c>
    </row>
    <row r="34" spans="1:12" x14ac:dyDescent="0.3">
      <c r="A34" t="s">
        <v>18</v>
      </c>
      <c r="B34" t="s">
        <v>17</v>
      </c>
      <c r="C34">
        <v>12</v>
      </c>
      <c r="D34">
        <v>2988.2350889232398</v>
      </c>
      <c r="E34">
        <v>3797.0012080818101</v>
      </c>
      <c r="F34">
        <v>2.1856836103845798</v>
      </c>
      <c r="G34">
        <v>2.1897589104077402</v>
      </c>
      <c r="H34">
        <v>0.72808654608519496</v>
      </c>
      <c r="I34">
        <v>-290.29726637777901</v>
      </c>
      <c r="J34">
        <v>0.35349851631911899</v>
      </c>
      <c r="K34" t="b">
        <v>1</v>
      </c>
      <c r="L34">
        <f t="shared" si="1"/>
        <v>0</v>
      </c>
    </row>
    <row r="35" spans="1:12" x14ac:dyDescent="0.3">
      <c r="A35" t="s">
        <v>39</v>
      </c>
      <c r="B35" t="s">
        <v>17</v>
      </c>
      <c r="C35">
        <v>12</v>
      </c>
      <c r="D35">
        <v>5150.0422568310096</v>
      </c>
      <c r="E35">
        <v>5923.1921476867001</v>
      </c>
      <c r="F35">
        <v>6.2330687018509003</v>
      </c>
      <c r="G35">
        <v>6.49566876861154</v>
      </c>
      <c r="H35">
        <v>-1.1417557337352</v>
      </c>
      <c r="I35">
        <v>-5150.0422568310096</v>
      </c>
      <c r="J35">
        <v>1.38722991489342</v>
      </c>
      <c r="K35" t="b">
        <v>1</v>
      </c>
      <c r="L35">
        <f t="shared" si="1"/>
        <v>1</v>
      </c>
    </row>
    <row r="36" spans="1:12" x14ac:dyDescent="0.3">
      <c r="A36" t="s">
        <v>38</v>
      </c>
      <c r="B36" t="s">
        <v>17</v>
      </c>
      <c r="C36">
        <v>12</v>
      </c>
      <c r="D36">
        <v>2826.2225183725</v>
      </c>
      <c r="E36">
        <v>3415.00202800135</v>
      </c>
      <c r="F36">
        <v>3.3374053700783399</v>
      </c>
      <c r="G36">
        <v>3.40807350319914</v>
      </c>
      <c r="H36">
        <v>0.238598999831859</v>
      </c>
      <c r="I36">
        <v>-1897.8259431087099</v>
      </c>
      <c r="J36">
        <v>0.61951232770031806</v>
      </c>
      <c r="K36" t="b">
        <v>1</v>
      </c>
      <c r="L36">
        <f t="shared" si="1"/>
        <v>0</v>
      </c>
    </row>
    <row r="37" spans="1:12" x14ac:dyDescent="0.3">
      <c r="A37" t="s">
        <v>22</v>
      </c>
      <c r="B37" t="s">
        <v>17</v>
      </c>
      <c r="C37">
        <v>12</v>
      </c>
      <c r="D37">
        <v>8279.5806165814101</v>
      </c>
      <c r="E37">
        <v>9679.5072766498197</v>
      </c>
      <c r="F37">
        <v>6.1443678731517899</v>
      </c>
      <c r="G37">
        <v>6.4081497873775897</v>
      </c>
      <c r="H37">
        <v>-1.4564822768543899</v>
      </c>
      <c r="I37">
        <v>-8029.2736386980896</v>
      </c>
      <c r="J37">
        <v>1.2987953441953699</v>
      </c>
      <c r="K37" t="b">
        <v>1</v>
      </c>
      <c r="L37">
        <f t="shared" si="1"/>
        <v>1</v>
      </c>
    </row>
    <row r="38" spans="1:12" x14ac:dyDescent="0.3">
      <c r="A38" t="s">
        <v>28</v>
      </c>
      <c r="B38" t="s">
        <v>17</v>
      </c>
      <c r="C38">
        <v>12</v>
      </c>
      <c r="D38">
        <v>2323.2585724373798</v>
      </c>
      <c r="E38">
        <v>2993.65285919184</v>
      </c>
      <c r="F38">
        <v>2.5704297972197501</v>
      </c>
      <c r="G38">
        <v>2.5295265304144299</v>
      </c>
      <c r="H38">
        <v>0.74340963892766798</v>
      </c>
      <c r="I38">
        <v>1137.8213700781</v>
      </c>
      <c r="J38">
        <v>0.415791511779802</v>
      </c>
      <c r="K38" t="b">
        <v>1</v>
      </c>
      <c r="L38">
        <f t="shared" si="1"/>
        <v>0</v>
      </c>
    </row>
    <row r="39" spans="1:12" x14ac:dyDescent="0.3">
      <c r="A39" t="s">
        <v>21</v>
      </c>
      <c r="B39" t="s">
        <v>17</v>
      </c>
      <c r="C39">
        <v>12</v>
      </c>
      <c r="D39">
        <v>3666.7496210038098</v>
      </c>
      <c r="E39">
        <v>4428.05356164971</v>
      </c>
      <c r="F39">
        <v>6.7430382839036298</v>
      </c>
      <c r="G39">
        <v>7.0779604599313597</v>
      </c>
      <c r="H39">
        <v>-1.06991457163196</v>
      </c>
      <c r="I39">
        <v>-3495.52625584002</v>
      </c>
      <c r="J39">
        <v>1.10056791024847</v>
      </c>
      <c r="K39" t="b">
        <v>1</v>
      </c>
      <c r="L39">
        <f t="shared" si="1"/>
        <v>1</v>
      </c>
    </row>
    <row r="40" spans="1:12" x14ac:dyDescent="0.3">
      <c r="A40" t="s">
        <v>20</v>
      </c>
      <c r="B40" t="s">
        <v>17</v>
      </c>
      <c r="C40">
        <v>12</v>
      </c>
      <c r="D40">
        <v>1855.13876831787</v>
      </c>
      <c r="E40">
        <v>2023.6850375484901</v>
      </c>
      <c r="F40">
        <v>3.1106785902110698</v>
      </c>
      <c r="G40">
        <v>3.14489680404753</v>
      </c>
      <c r="H40">
        <v>0.63728897465965495</v>
      </c>
      <c r="I40">
        <v>-1117.5015017524499</v>
      </c>
      <c r="J40">
        <v>0.45552347627647699</v>
      </c>
      <c r="K40" t="b">
        <v>1</v>
      </c>
      <c r="L40">
        <f t="shared" si="1"/>
        <v>0</v>
      </c>
    </row>
    <row r="41" spans="1:12" x14ac:dyDescent="0.3">
      <c r="A41" t="s">
        <v>30</v>
      </c>
      <c r="B41" t="s">
        <v>17</v>
      </c>
      <c r="C41">
        <v>12</v>
      </c>
      <c r="D41">
        <v>20105.3376795148</v>
      </c>
      <c r="E41">
        <v>23748.8013262555</v>
      </c>
      <c r="F41">
        <v>4.8418985978431897</v>
      </c>
      <c r="G41">
        <v>5.0090434164842597</v>
      </c>
      <c r="H41">
        <v>-0.30678521113870499</v>
      </c>
      <c r="I41">
        <v>-19736.5570686582</v>
      </c>
      <c r="J41">
        <v>0.871760950741018</v>
      </c>
      <c r="K41" t="b">
        <v>1</v>
      </c>
      <c r="L41">
        <f t="shared" si="1"/>
        <v>1</v>
      </c>
    </row>
    <row r="42" spans="1:12" x14ac:dyDescent="0.3">
      <c r="A42" t="s">
        <v>23</v>
      </c>
      <c r="B42" t="s">
        <v>17</v>
      </c>
      <c r="C42">
        <v>12</v>
      </c>
      <c r="D42">
        <v>3749.7262479681799</v>
      </c>
      <c r="E42">
        <v>4363.77206326749</v>
      </c>
      <c r="F42">
        <v>3.15975667694841</v>
      </c>
      <c r="G42">
        <v>3.1222042451552401</v>
      </c>
      <c r="H42">
        <v>0.69120680794962996</v>
      </c>
      <c r="I42">
        <v>782.76361677877003</v>
      </c>
      <c r="J42">
        <v>0.45044281207127101</v>
      </c>
      <c r="K42" t="b">
        <v>1</v>
      </c>
      <c r="L42">
        <f t="shared" si="1"/>
        <v>0</v>
      </c>
    </row>
    <row r="43" spans="1:12" x14ac:dyDescent="0.3">
      <c r="A43" t="s">
        <v>19</v>
      </c>
      <c r="B43" t="s">
        <v>17</v>
      </c>
      <c r="C43">
        <v>12</v>
      </c>
      <c r="D43">
        <v>1725.31011154568</v>
      </c>
      <c r="E43">
        <v>2200.4019483135799</v>
      </c>
      <c r="F43">
        <v>2.6551573874768502</v>
      </c>
      <c r="G43">
        <v>2.6577216239625101</v>
      </c>
      <c r="H43">
        <v>0.499065055477802</v>
      </c>
      <c r="I43">
        <v>-134.45507329310101</v>
      </c>
      <c r="J43">
        <v>0.47598494123125601</v>
      </c>
      <c r="K43" t="b">
        <v>1</v>
      </c>
      <c r="L43">
        <f t="shared" si="1"/>
        <v>0</v>
      </c>
    </row>
    <row r="44" spans="1:12" x14ac:dyDescent="0.3">
      <c r="A44" t="s">
        <v>15</v>
      </c>
      <c r="B44" t="s">
        <v>17</v>
      </c>
      <c r="C44">
        <v>12</v>
      </c>
      <c r="D44">
        <v>15425.125551233299</v>
      </c>
      <c r="E44">
        <v>17836.2515155412</v>
      </c>
      <c r="F44">
        <v>5.5644196408572304</v>
      </c>
      <c r="G44">
        <v>5.7737350011052504</v>
      </c>
      <c r="H44">
        <v>-0.85094453114087198</v>
      </c>
      <c r="I44">
        <v>-14741.6437875831</v>
      </c>
      <c r="J44">
        <v>0.983689068391434</v>
      </c>
      <c r="K44" t="b">
        <v>1</v>
      </c>
      <c r="L44">
        <f t="shared" si="1"/>
        <v>1</v>
      </c>
    </row>
    <row r="45" spans="1:12" x14ac:dyDescent="0.3">
      <c r="A45" t="s">
        <v>29</v>
      </c>
      <c r="B45" t="s">
        <v>17</v>
      </c>
      <c r="C45">
        <v>12</v>
      </c>
      <c r="D45">
        <v>3312.0064169153102</v>
      </c>
      <c r="E45">
        <v>4241.4356375364696</v>
      </c>
      <c r="F45">
        <v>2.6919569747191701</v>
      </c>
      <c r="G45">
        <v>2.68183592949344</v>
      </c>
      <c r="H45">
        <v>0.53814514392432999</v>
      </c>
      <c r="I45">
        <v>46.051908485301603</v>
      </c>
      <c r="J45">
        <v>0.50202832254055196</v>
      </c>
      <c r="K45" t="b">
        <v>1</v>
      </c>
      <c r="L45">
        <f t="shared" si="1"/>
        <v>0</v>
      </c>
    </row>
    <row r="46" spans="1:12" x14ac:dyDescent="0.3">
      <c r="A46" t="s">
        <v>40</v>
      </c>
      <c r="B46" t="s">
        <v>17</v>
      </c>
      <c r="C46">
        <v>12</v>
      </c>
      <c r="D46">
        <v>1924.45976669538</v>
      </c>
      <c r="E46">
        <v>2131.2191931994998</v>
      </c>
      <c r="F46">
        <v>3.4706274999673501</v>
      </c>
      <c r="G46">
        <v>3.4619250171096798</v>
      </c>
      <c r="H46">
        <v>0.665123265034825</v>
      </c>
      <c r="I46">
        <v>4.5704005189297003</v>
      </c>
      <c r="J46">
        <v>0.44095406749509197</v>
      </c>
      <c r="K46" t="b">
        <v>1</v>
      </c>
      <c r="L46">
        <f t="shared" si="1"/>
        <v>0</v>
      </c>
    </row>
    <row r="47" spans="1:12" x14ac:dyDescent="0.3">
      <c r="A47" t="s">
        <v>32</v>
      </c>
      <c r="B47" t="s">
        <v>17</v>
      </c>
      <c r="C47">
        <v>12</v>
      </c>
      <c r="D47">
        <v>5990.4339248844299</v>
      </c>
      <c r="E47">
        <v>7257.5586520428797</v>
      </c>
      <c r="F47">
        <v>2.86802783590805</v>
      </c>
      <c r="G47">
        <v>2.9270351270265098</v>
      </c>
      <c r="H47">
        <v>5.2184511281500402E-2</v>
      </c>
      <c r="I47">
        <v>-5510.5026124420501</v>
      </c>
      <c r="J47">
        <v>0.715045923479115</v>
      </c>
      <c r="K47" t="b">
        <v>1</v>
      </c>
      <c r="L47">
        <f t="shared" si="1"/>
        <v>0</v>
      </c>
    </row>
    <row r="48" spans="1:12" x14ac:dyDescent="0.3">
      <c r="A48" t="s">
        <v>37</v>
      </c>
      <c r="B48" t="s">
        <v>17</v>
      </c>
      <c r="C48">
        <v>12</v>
      </c>
      <c r="D48">
        <v>1841.3850252191201</v>
      </c>
      <c r="E48">
        <v>2141.5080685113198</v>
      </c>
      <c r="F48">
        <v>3.2533429587029699</v>
      </c>
      <c r="G48">
        <v>3.2140804137203598</v>
      </c>
      <c r="H48">
        <v>0.511428809337098</v>
      </c>
      <c r="I48">
        <v>631.16711921573699</v>
      </c>
      <c r="J48">
        <v>0.58989198939851395</v>
      </c>
      <c r="K48" t="b">
        <v>1</v>
      </c>
      <c r="L48">
        <f t="shared" si="1"/>
        <v>0</v>
      </c>
    </row>
    <row r="49" spans="1:12" x14ac:dyDescent="0.3">
      <c r="A49" t="s">
        <v>34</v>
      </c>
      <c r="B49" t="s">
        <v>17</v>
      </c>
      <c r="C49">
        <v>12</v>
      </c>
      <c r="D49">
        <v>10319.642054444599</v>
      </c>
      <c r="E49">
        <v>12340.5736690546</v>
      </c>
      <c r="F49">
        <v>3.0925591325657198</v>
      </c>
      <c r="G49">
        <v>3.1496615972075799</v>
      </c>
      <c r="H49">
        <v>0.41785390855082399</v>
      </c>
      <c r="I49">
        <v>-6358.60427531395</v>
      </c>
      <c r="J49">
        <v>0.57303280688841696</v>
      </c>
      <c r="K49" t="b">
        <v>1</v>
      </c>
      <c r="L49">
        <f t="shared" si="1"/>
        <v>0</v>
      </c>
    </row>
    <row r="50" spans="1:12" x14ac:dyDescent="0.3">
      <c r="A50" t="s">
        <v>13</v>
      </c>
      <c r="B50" t="s">
        <v>17</v>
      </c>
      <c r="C50">
        <v>12</v>
      </c>
      <c r="D50">
        <v>1302.49347258891</v>
      </c>
      <c r="E50">
        <v>1632.2260333460399</v>
      </c>
      <c r="F50">
        <v>3.4290474680110901</v>
      </c>
      <c r="G50">
        <v>3.3354007192970698</v>
      </c>
      <c r="H50">
        <v>0.56501683523408996</v>
      </c>
      <c r="I50">
        <v>1191.2744296675401</v>
      </c>
      <c r="J50">
        <v>0.53026515503991201</v>
      </c>
      <c r="K50" t="b">
        <v>1</v>
      </c>
      <c r="L50">
        <f t="shared" si="1"/>
        <v>0</v>
      </c>
    </row>
    <row r="51" spans="1:12" x14ac:dyDescent="0.3">
      <c r="A51" t="s">
        <v>42</v>
      </c>
      <c r="B51" t="s">
        <v>17</v>
      </c>
      <c r="C51">
        <v>12</v>
      </c>
      <c r="D51">
        <v>665.81423216656401</v>
      </c>
      <c r="E51">
        <v>834.40485053660802</v>
      </c>
      <c r="F51">
        <v>4.5181768128769697</v>
      </c>
      <c r="G51">
        <v>4.3893504599150202</v>
      </c>
      <c r="H51">
        <v>0.35877039151623202</v>
      </c>
      <c r="I51">
        <v>458.00125760782203</v>
      </c>
      <c r="J51">
        <v>0.640906861995576</v>
      </c>
      <c r="K51" t="b">
        <v>1</v>
      </c>
      <c r="L51">
        <f t="shared" si="1"/>
        <v>0</v>
      </c>
    </row>
    <row r="52" spans="1:12" x14ac:dyDescent="0.3">
      <c r="A52" t="s">
        <v>16</v>
      </c>
      <c r="B52" t="s">
        <v>17</v>
      </c>
      <c r="C52">
        <v>12</v>
      </c>
      <c r="D52">
        <v>5488.1326962312496</v>
      </c>
      <c r="E52">
        <v>6950.6775902693198</v>
      </c>
      <c r="F52">
        <v>2.1033083659327598</v>
      </c>
      <c r="G52">
        <v>2.0792491588108302</v>
      </c>
      <c r="H52">
        <v>0.68965929822725403</v>
      </c>
      <c r="I52">
        <v>2047.68474971365</v>
      </c>
      <c r="J52">
        <v>0.39561282164593198</v>
      </c>
      <c r="K52" t="b">
        <v>1</v>
      </c>
      <c r="L52">
        <f t="shared" si="1"/>
        <v>0</v>
      </c>
    </row>
    <row r="53" spans="1:12" x14ac:dyDescent="0.3">
      <c r="A53" t="s">
        <v>11</v>
      </c>
      <c r="B53" t="s">
        <v>17</v>
      </c>
      <c r="C53">
        <v>12</v>
      </c>
      <c r="D53">
        <v>31982.487723711001</v>
      </c>
      <c r="E53">
        <v>37895.4217635565</v>
      </c>
      <c r="F53">
        <v>3.9352580639363</v>
      </c>
      <c r="G53">
        <v>4.0371797853229099</v>
      </c>
      <c r="H53">
        <v>-0.173679355555203</v>
      </c>
      <c r="I53">
        <v>-26606.8507688682</v>
      </c>
      <c r="J53">
        <v>0.81980958996491404</v>
      </c>
      <c r="K53" t="b">
        <v>1</v>
      </c>
      <c r="L53">
        <f t="shared" si="1"/>
        <v>1</v>
      </c>
    </row>
    <row r="54" spans="1:12" x14ac:dyDescent="0.3">
      <c r="A54" t="s">
        <v>33</v>
      </c>
      <c r="B54" t="s">
        <v>17</v>
      </c>
      <c r="C54">
        <v>12</v>
      </c>
      <c r="D54">
        <v>1077.0073282056801</v>
      </c>
      <c r="E54">
        <v>1345.5892877834499</v>
      </c>
      <c r="F54">
        <v>2.9751394578711401</v>
      </c>
      <c r="G54">
        <v>2.9420923170679001</v>
      </c>
      <c r="H54">
        <v>0.437151597568118</v>
      </c>
      <c r="I54">
        <v>647.520753407906</v>
      </c>
      <c r="J54">
        <v>0.49732950293955602</v>
      </c>
      <c r="K54" t="b">
        <v>1</v>
      </c>
      <c r="L54">
        <f t="shared" si="1"/>
        <v>0</v>
      </c>
    </row>
    <row r="55" spans="1:12" x14ac:dyDescent="0.3">
      <c r="A55" t="s">
        <v>27</v>
      </c>
      <c r="B55" t="s">
        <v>17</v>
      </c>
      <c r="C55">
        <v>12</v>
      </c>
      <c r="D55">
        <v>1111.3056886075101</v>
      </c>
      <c r="E55">
        <v>1285.2486324080301</v>
      </c>
      <c r="F55">
        <v>3.03538005145835</v>
      </c>
      <c r="G55">
        <v>3.01860005246566</v>
      </c>
      <c r="H55">
        <v>0.77181308267205995</v>
      </c>
      <c r="I55">
        <v>61.699103975042803</v>
      </c>
      <c r="J55">
        <v>0.33255352961500101</v>
      </c>
      <c r="K55" t="b">
        <v>1</v>
      </c>
      <c r="L55">
        <f t="shared" si="1"/>
        <v>0</v>
      </c>
    </row>
    <row r="56" spans="1:12" x14ac:dyDescent="0.3">
      <c r="A56" t="s">
        <v>14</v>
      </c>
      <c r="B56" t="s">
        <v>43</v>
      </c>
      <c r="C56">
        <v>12</v>
      </c>
      <c r="D56">
        <v>35.4224102701194</v>
      </c>
      <c r="E56">
        <v>40.5532979410997</v>
      </c>
      <c r="F56">
        <v>96.891845791742597</v>
      </c>
      <c r="G56">
        <v>69.660624161466103</v>
      </c>
      <c r="H56">
        <v>-0.16795508175328899</v>
      </c>
      <c r="I56">
        <v>7.5097359675300703</v>
      </c>
      <c r="J56">
        <v>0.59368027939858004</v>
      </c>
      <c r="K56" t="b">
        <v>1</v>
      </c>
      <c r="L56">
        <f t="shared" si="1"/>
        <v>1</v>
      </c>
    </row>
    <row r="57" spans="1:12" x14ac:dyDescent="0.3">
      <c r="A57" t="s">
        <v>35</v>
      </c>
      <c r="B57" t="s">
        <v>43</v>
      </c>
      <c r="C57">
        <v>12</v>
      </c>
      <c r="D57">
        <v>8.6704015229723908</v>
      </c>
      <c r="E57">
        <v>9.8148401779689198</v>
      </c>
      <c r="F57">
        <v>54.053688474969903</v>
      </c>
      <c r="G57">
        <v>47.538165318254897</v>
      </c>
      <c r="H57">
        <v>-2.8098605647940401E-2</v>
      </c>
      <c r="I57">
        <v>-0.86882320318410799</v>
      </c>
      <c r="J57">
        <v>0.61070319598185696</v>
      </c>
      <c r="K57" t="b">
        <v>1</v>
      </c>
      <c r="L57">
        <f t="shared" si="1"/>
        <v>1</v>
      </c>
    </row>
    <row r="58" spans="1:12" x14ac:dyDescent="0.3">
      <c r="A58" t="s">
        <v>24</v>
      </c>
      <c r="B58" t="s">
        <v>43</v>
      </c>
      <c r="C58">
        <v>12</v>
      </c>
      <c r="D58">
        <v>23.606350590629901</v>
      </c>
      <c r="E58">
        <v>27.666533718083201</v>
      </c>
      <c r="F58">
        <v>42.806698951374102</v>
      </c>
      <c r="G58">
        <v>68.931547400217198</v>
      </c>
      <c r="H58">
        <v>-0.32504977721956402</v>
      </c>
      <c r="I58">
        <v>-1.15700814233586</v>
      </c>
      <c r="J58">
        <v>0.66186796995652597</v>
      </c>
      <c r="K58" t="b">
        <v>1</v>
      </c>
      <c r="L58">
        <f t="shared" si="1"/>
        <v>1</v>
      </c>
    </row>
    <row r="59" spans="1:12" x14ac:dyDescent="0.3">
      <c r="A59" t="s">
        <v>26</v>
      </c>
      <c r="B59" t="s">
        <v>43</v>
      </c>
      <c r="C59">
        <v>12</v>
      </c>
      <c r="D59">
        <v>21.9022949494349</v>
      </c>
      <c r="E59">
        <v>30.442911087998699</v>
      </c>
      <c r="F59">
        <v>293.22584567075398</v>
      </c>
      <c r="G59">
        <v>182.071037701563</v>
      </c>
      <c r="H59">
        <v>-0.635122739212714</v>
      </c>
      <c r="I59">
        <v>-18.7322351079541</v>
      </c>
      <c r="J59">
        <v>0.68797180486689702</v>
      </c>
      <c r="K59" t="b">
        <v>1</v>
      </c>
      <c r="L59">
        <f t="shared" si="1"/>
        <v>1</v>
      </c>
    </row>
    <row r="60" spans="1:12" x14ac:dyDescent="0.3">
      <c r="A60" t="s">
        <v>25</v>
      </c>
      <c r="B60" t="s">
        <v>43</v>
      </c>
      <c r="C60">
        <v>12</v>
      </c>
      <c r="D60">
        <v>28.527215583045699</v>
      </c>
      <c r="E60">
        <v>36.930368546386298</v>
      </c>
      <c r="F60">
        <v>19.951908361961301</v>
      </c>
      <c r="G60">
        <v>18.0047402451181</v>
      </c>
      <c r="H60">
        <v>0.105626516766491</v>
      </c>
      <c r="I60">
        <v>0.33585965393791201</v>
      </c>
      <c r="J60">
        <v>0.52916717298405502</v>
      </c>
      <c r="K60" t="b">
        <v>1</v>
      </c>
      <c r="L60">
        <f t="shared" si="1"/>
        <v>0</v>
      </c>
    </row>
    <row r="61" spans="1:12" x14ac:dyDescent="0.3">
      <c r="A61" t="s">
        <v>18</v>
      </c>
      <c r="B61" t="s">
        <v>43</v>
      </c>
      <c r="C61">
        <v>12</v>
      </c>
      <c r="D61">
        <v>17.095949796767702</v>
      </c>
      <c r="E61">
        <v>19.997991464126599</v>
      </c>
      <c r="F61">
        <v>46.468881572081003</v>
      </c>
      <c r="G61">
        <v>48.117020999145502</v>
      </c>
      <c r="H61">
        <v>-0.68148969356951805</v>
      </c>
      <c r="I61">
        <v>-12.6742039324897</v>
      </c>
      <c r="J61">
        <v>0.82496565496887797</v>
      </c>
      <c r="K61" t="b">
        <v>1</v>
      </c>
      <c r="L61">
        <f t="shared" si="1"/>
        <v>1</v>
      </c>
    </row>
    <row r="62" spans="1:12" x14ac:dyDescent="0.3">
      <c r="A62" t="s">
        <v>39</v>
      </c>
      <c r="B62" t="s">
        <v>43</v>
      </c>
      <c r="C62">
        <v>12</v>
      </c>
      <c r="D62">
        <v>8.6681275438829903</v>
      </c>
      <c r="E62">
        <v>10.016343778520399</v>
      </c>
      <c r="F62">
        <v>21.347275349004001</v>
      </c>
      <c r="G62">
        <v>23.9911445171922</v>
      </c>
      <c r="H62">
        <v>-1.7693063842696699</v>
      </c>
      <c r="I62">
        <v>-7.5287354629532803</v>
      </c>
      <c r="J62">
        <v>1.4987290461799201</v>
      </c>
      <c r="K62" t="b">
        <v>1</v>
      </c>
      <c r="L62">
        <f t="shared" si="1"/>
        <v>1</v>
      </c>
    </row>
    <row r="63" spans="1:12" x14ac:dyDescent="0.3">
      <c r="A63" t="s">
        <v>38</v>
      </c>
      <c r="B63" t="s">
        <v>43</v>
      </c>
      <c r="C63">
        <v>12</v>
      </c>
      <c r="D63">
        <v>8.2893404090883305</v>
      </c>
      <c r="E63">
        <v>10.184630500838599</v>
      </c>
      <c r="F63">
        <v>20.241239667225901</v>
      </c>
      <c r="G63">
        <v>20.416046286614499</v>
      </c>
      <c r="H63">
        <v>2.6402008196248099E-2</v>
      </c>
      <c r="I63">
        <v>-3.41587376849894</v>
      </c>
      <c r="J63">
        <v>0.52378546240375301</v>
      </c>
      <c r="K63" t="b">
        <v>1</v>
      </c>
      <c r="L63">
        <f t="shared" si="1"/>
        <v>0</v>
      </c>
    </row>
    <row r="64" spans="1:12" x14ac:dyDescent="0.3">
      <c r="A64" t="s">
        <v>22</v>
      </c>
      <c r="B64" t="s">
        <v>43</v>
      </c>
      <c r="C64">
        <v>12</v>
      </c>
      <c r="D64">
        <v>36.5921946038398</v>
      </c>
      <c r="E64">
        <v>46.929857831617298</v>
      </c>
      <c r="F64">
        <v>19.042953796526099</v>
      </c>
      <c r="G64">
        <v>17.017476242904198</v>
      </c>
      <c r="H64">
        <v>-7.25186692140221E-2</v>
      </c>
      <c r="I64">
        <v>10.2664576434005</v>
      </c>
      <c r="J64">
        <v>0.71361747550434496</v>
      </c>
      <c r="K64" t="b">
        <v>1</v>
      </c>
      <c r="L64">
        <f t="shared" si="1"/>
        <v>1</v>
      </c>
    </row>
    <row r="65" spans="1:12" x14ac:dyDescent="0.3">
      <c r="A65" t="s">
        <v>28</v>
      </c>
      <c r="B65" t="s">
        <v>43</v>
      </c>
      <c r="C65">
        <v>12</v>
      </c>
      <c r="D65">
        <v>22.982779178629599</v>
      </c>
      <c r="E65">
        <v>28.5960828165755</v>
      </c>
      <c r="F65">
        <v>81.047592501701104</v>
      </c>
      <c r="G65">
        <v>38.660831078398999</v>
      </c>
      <c r="H65">
        <v>-8.1989628369489406E-2</v>
      </c>
      <c r="I65">
        <v>8.0486003937894992</v>
      </c>
      <c r="J65">
        <v>0.84916460641640001</v>
      </c>
      <c r="K65" t="b">
        <v>1</v>
      </c>
      <c r="L65">
        <f t="shared" si="1"/>
        <v>1</v>
      </c>
    </row>
    <row r="66" spans="1:12" x14ac:dyDescent="0.3">
      <c r="A66" t="s">
        <v>21</v>
      </c>
      <c r="B66" t="s">
        <v>43</v>
      </c>
      <c r="C66">
        <v>12</v>
      </c>
      <c r="D66">
        <v>71.735914188791895</v>
      </c>
      <c r="E66">
        <v>86.073394639208203</v>
      </c>
      <c r="F66">
        <v>16.9345389089336</v>
      </c>
      <c r="G66">
        <v>17.874813968922901</v>
      </c>
      <c r="H66">
        <v>6.24465522316466E-2</v>
      </c>
      <c r="I66">
        <v>-34.787817434109797</v>
      </c>
      <c r="J66">
        <v>0.78331176709891703</v>
      </c>
      <c r="K66" t="b">
        <v>1</v>
      </c>
      <c r="L66">
        <f t="shared" si="1"/>
        <v>0</v>
      </c>
    </row>
    <row r="67" spans="1:12" x14ac:dyDescent="0.3">
      <c r="A67" t="s">
        <v>20</v>
      </c>
      <c r="B67" t="s">
        <v>43</v>
      </c>
      <c r="C67">
        <v>12</v>
      </c>
      <c r="D67">
        <v>14.3999314798453</v>
      </c>
      <c r="E67">
        <v>18.392330600199202</v>
      </c>
      <c r="F67">
        <v>8.3052567598569809</v>
      </c>
      <c r="G67">
        <v>8.1280525704641207</v>
      </c>
      <c r="H67">
        <v>0.13508595354907901</v>
      </c>
      <c r="I67">
        <v>2.9068115775008998</v>
      </c>
      <c r="J67">
        <v>0.69490919219453695</v>
      </c>
      <c r="K67" t="b">
        <v>1</v>
      </c>
      <c r="L67">
        <f t="shared" ref="L67:L130" si="3">IF(H67&lt;0,1,0)</f>
        <v>0</v>
      </c>
    </row>
    <row r="68" spans="1:12" x14ac:dyDescent="0.3">
      <c r="A68" t="s">
        <v>30</v>
      </c>
      <c r="B68" t="s">
        <v>43</v>
      </c>
      <c r="C68">
        <v>12</v>
      </c>
      <c r="D68">
        <v>29.921734237752801</v>
      </c>
      <c r="E68">
        <v>39.511815386277</v>
      </c>
      <c r="F68">
        <v>10.837840059920801</v>
      </c>
      <c r="G68">
        <v>11.1426854225968</v>
      </c>
      <c r="H68">
        <v>0.38214923680959101</v>
      </c>
      <c r="I68">
        <v>-9.6897701778762997</v>
      </c>
      <c r="J68">
        <v>0.690264176958298</v>
      </c>
      <c r="K68" t="b">
        <v>1</v>
      </c>
      <c r="L68">
        <f t="shared" si="3"/>
        <v>0</v>
      </c>
    </row>
    <row r="69" spans="1:12" x14ac:dyDescent="0.3">
      <c r="A69" t="s">
        <v>23</v>
      </c>
      <c r="B69" t="s">
        <v>43</v>
      </c>
      <c r="C69">
        <v>12</v>
      </c>
      <c r="D69">
        <v>42.794420291197902</v>
      </c>
      <c r="E69">
        <v>51.378737352947802</v>
      </c>
      <c r="F69">
        <v>21.7406192011196</v>
      </c>
      <c r="G69">
        <v>18.8143849934761</v>
      </c>
      <c r="H69">
        <v>6.7462100715544301E-2</v>
      </c>
      <c r="I69">
        <v>4.6810767079060698</v>
      </c>
      <c r="J69">
        <v>0.58266012417989999</v>
      </c>
      <c r="K69" t="b">
        <v>1</v>
      </c>
      <c r="L69">
        <f t="shared" si="3"/>
        <v>0</v>
      </c>
    </row>
    <row r="70" spans="1:12" x14ac:dyDescent="0.3">
      <c r="A70" t="s">
        <v>19</v>
      </c>
      <c r="B70" t="s">
        <v>43</v>
      </c>
      <c r="C70">
        <v>12</v>
      </c>
      <c r="D70">
        <v>10.5621556694232</v>
      </c>
      <c r="E70">
        <v>11.7781354595451</v>
      </c>
      <c r="F70">
        <v>385.76981059420899</v>
      </c>
      <c r="G70">
        <v>102.95807587770101</v>
      </c>
      <c r="H70">
        <v>-0.123459058893507</v>
      </c>
      <c r="I70">
        <v>-4.5652713904348898</v>
      </c>
      <c r="J70">
        <v>0.61072587382057797</v>
      </c>
      <c r="K70" t="b">
        <v>1</v>
      </c>
      <c r="L70">
        <f t="shared" si="3"/>
        <v>1</v>
      </c>
    </row>
    <row r="71" spans="1:12" x14ac:dyDescent="0.3">
      <c r="A71" t="s">
        <v>15</v>
      </c>
      <c r="B71" t="s">
        <v>43</v>
      </c>
      <c r="C71">
        <v>12</v>
      </c>
      <c r="D71">
        <v>25.585703513642802</v>
      </c>
      <c r="E71">
        <v>36.901054827542097</v>
      </c>
      <c r="F71">
        <v>10.344375896850099</v>
      </c>
      <c r="G71">
        <v>10.130189706377701</v>
      </c>
      <c r="H71">
        <v>-0.18235403919374699</v>
      </c>
      <c r="I71">
        <v>-1.1774854681081</v>
      </c>
      <c r="J71">
        <v>1.19746240415715</v>
      </c>
      <c r="K71" t="b">
        <v>1</v>
      </c>
      <c r="L71">
        <f t="shared" si="3"/>
        <v>1</v>
      </c>
    </row>
    <row r="72" spans="1:12" x14ac:dyDescent="0.3">
      <c r="A72" t="s">
        <v>29</v>
      </c>
      <c r="B72" t="s">
        <v>43</v>
      </c>
      <c r="C72">
        <v>12</v>
      </c>
      <c r="D72">
        <v>8.8883512560918501</v>
      </c>
      <c r="E72">
        <v>10.592748929494499</v>
      </c>
      <c r="F72">
        <v>38.880577980328198</v>
      </c>
      <c r="G72">
        <v>33.873381292825897</v>
      </c>
      <c r="H72">
        <v>-2.4877748613878498E-3</v>
      </c>
      <c r="I72">
        <v>-1.6256270238056201</v>
      </c>
      <c r="J72">
        <v>0.62615981080972505</v>
      </c>
      <c r="K72" t="b">
        <v>1</v>
      </c>
      <c r="L72">
        <f t="shared" si="3"/>
        <v>1</v>
      </c>
    </row>
    <row r="73" spans="1:12" x14ac:dyDescent="0.3">
      <c r="A73" t="s">
        <v>40</v>
      </c>
      <c r="B73" t="s">
        <v>43</v>
      </c>
      <c r="C73">
        <v>12</v>
      </c>
      <c r="D73">
        <v>22.369730655899101</v>
      </c>
      <c r="E73">
        <v>24.344932596769301</v>
      </c>
      <c r="F73">
        <v>79.587575407957303</v>
      </c>
      <c r="G73">
        <v>63.580354709230598</v>
      </c>
      <c r="H73">
        <v>-0.860811565661045</v>
      </c>
      <c r="I73">
        <v>-16.359095149038701</v>
      </c>
      <c r="J73">
        <v>1.0207947890406499</v>
      </c>
      <c r="K73" t="b">
        <v>1</v>
      </c>
      <c r="L73">
        <f t="shared" si="3"/>
        <v>1</v>
      </c>
    </row>
    <row r="74" spans="1:12" x14ac:dyDescent="0.3">
      <c r="A74" t="s">
        <v>32</v>
      </c>
      <c r="B74" t="s">
        <v>43</v>
      </c>
      <c r="C74">
        <v>12</v>
      </c>
      <c r="D74">
        <v>47.224040188127901</v>
      </c>
      <c r="E74">
        <v>54.4644582413354</v>
      </c>
      <c r="F74">
        <v>30.056016832965501</v>
      </c>
      <c r="G74">
        <v>35.263701047179197</v>
      </c>
      <c r="H74">
        <v>-1.2140676748605499</v>
      </c>
      <c r="I74">
        <v>-39.685348096642997</v>
      </c>
      <c r="J74">
        <v>1.3500152471137801</v>
      </c>
      <c r="K74" t="b">
        <v>1</v>
      </c>
      <c r="L74">
        <f t="shared" si="3"/>
        <v>1</v>
      </c>
    </row>
    <row r="75" spans="1:12" x14ac:dyDescent="0.3">
      <c r="A75" t="s">
        <v>37</v>
      </c>
      <c r="B75" t="s">
        <v>43</v>
      </c>
      <c r="C75">
        <v>12</v>
      </c>
      <c r="D75">
        <v>4.4849674970404996</v>
      </c>
      <c r="E75">
        <v>5.5159355151216802</v>
      </c>
      <c r="F75">
        <v>64.297844379873197</v>
      </c>
      <c r="G75">
        <v>40.110283009780602</v>
      </c>
      <c r="H75">
        <v>8.2415564128975896E-2</v>
      </c>
      <c r="I75">
        <v>-0.62054418219434904</v>
      </c>
      <c r="J75">
        <v>0.77761246263449002</v>
      </c>
      <c r="K75" t="b">
        <v>1</v>
      </c>
      <c r="L75">
        <f t="shared" si="3"/>
        <v>0</v>
      </c>
    </row>
    <row r="76" spans="1:12" x14ac:dyDescent="0.3">
      <c r="A76" t="s">
        <v>34</v>
      </c>
      <c r="B76" t="s">
        <v>43</v>
      </c>
      <c r="C76">
        <v>12</v>
      </c>
      <c r="D76">
        <v>41.0056872930545</v>
      </c>
      <c r="E76">
        <v>52.594176072960501</v>
      </c>
      <c r="F76">
        <v>19.4648984620978</v>
      </c>
      <c r="G76">
        <v>18.6632610903835</v>
      </c>
      <c r="H76">
        <v>0.60173152368711302</v>
      </c>
      <c r="I76">
        <v>11.5506103022455</v>
      </c>
      <c r="J76">
        <v>0.57278906584</v>
      </c>
      <c r="K76" t="b">
        <v>1</v>
      </c>
      <c r="L76">
        <f t="shared" si="3"/>
        <v>0</v>
      </c>
    </row>
    <row r="77" spans="1:12" x14ac:dyDescent="0.3">
      <c r="A77" t="s">
        <v>13</v>
      </c>
      <c r="B77" t="s">
        <v>43</v>
      </c>
      <c r="C77">
        <v>12</v>
      </c>
      <c r="D77">
        <v>22.976878183897998</v>
      </c>
      <c r="E77">
        <v>25.812833405341301</v>
      </c>
      <c r="F77">
        <v>185.63130410763301</v>
      </c>
      <c r="G77">
        <v>79.724073379841997</v>
      </c>
      <c r="H77">
        <v>-9.1267825839817601E-2</v>
      </c>
      <c r="I77">
        <v>8.0411783954006708</v>
      </c>
      <c r="J77">
        <v>0.59584596644946497</v>
      </c>
      <c r="K77" t="b">
        <v>1</v>
      </c>
      <c r="L77">
        <f t="shared" si="3"/>
        <v>1</v>
      </c>
    </row>
    <row r="78" spans="1:12" x14ac:dyDescent="0.3">
      <c r="A78" t="s">
        <v>42</v>
      </c>
      <c r="B78" t="s">
        <v>43</v>
      </c>
      <c r="C78">
        <v>12</v>
      </c>
      <c r="D78">
        <v>52.779036575635701</v>
      </c>
      <c r="E78">
        <v>62.889099058662602</v>
      </c>
      <c r="F78">
        <v>33.2857857792647</v>
      </c>
      <c r="G78">
        <v>74.811703463816102</v>
      </c>
      <c r="H78">
        <v>-0.16151960397750201</v>
      </c>
      <c r="I78">
        <v>13.838274023181601</v>
      </c>
      <c r="J78">
        <v>0.95650566569897599</v>
      </c>
      <c r="K78" t="b">
        <v>1</v>
      </c>
      <c r="L78">
        <f t="shared" si="3"/>
        <v>1</v>
      </c>
    </row>
    <row r="79" spans="1:12" x14ac:dyDescent="0.3">
      <c r="A79" t="s">
        <v>16</v>
      </c>
      <c r="B79" t="s">
        <v>43</v>
      </c>
      <c r="C79">
        <v>12</v>
      </c>
      <c r="D79">
        <v>11.5742267212729</v>
      </c>
      <c r="E79">
        <v>12.9473446031196</v>
      </c>
      <c r="F79">
        <v>8.2422413718076992</v>
      </c>
      <c r="G79">
        <v>8.1395924802229001</v>
      </c>
      <c r="H79">
        <v>0.106727930068462</v>
      </c>
      <c r="I79">
        <v>-1.58986046206266</v>
      </c>
      <c r="J79">
        <v>0.78470265673441397</v>
      </c>
      <c r="K79" t="b">
        <v>1</v>
      </c>
      <c r="L79">
        <f t="shared" si="3"/>
        <v>0</v>
      </c>
    </row>
    <row r="80" spans="1:12" x14ac:dyDescent="0.3">
      <c r="A80" t="s">
        <v>11</v>
      </c>
      <c r="B80" t="s">
        <v>43</v>
      </c>
      <c r="C80">
        <v>12</v>
      </c>
      <c r="D80">
        <v>68.099966566469107</v>
      </c>
      <c r="E80">
        <v>88.716949312187793</v>
      </c>
      <c r="F80">
        <v>12.1395555983871</v>
      </c>
      <c r="G80">
        <v>11.2387380102441</v>
      </c>
      <c r="H80">
        <v>0.241977415918946</v>
      </c>
      <c r="I80">
        <v>23.729325698191499</v>
      </c>
      <c r="J80">
        <v>0.87144852588268396</v>
      </c>
      <c r="K80" t="b">
        <v>1</v>
      </c>
      <c r="L80">
        <f t="shared" si="3"/>
        <v>0</v>
      </c>
    </row>
    <row r="81" spans="1:12" x14ac:dyDescent="0.3">
      <c r="A81" t="s">
        <v>33</v>
      </c>
      <c r="B81" t="s">
        <v>43</v>
      </c>
      <c r="C81">
        <v>12</v>
      </c>
      <c r="D81">
        <v>2.0559393045780401</v>
      </c>
      <c r="E81">
        <v>2.4681984227629301</v>
      </c>
      <c r="F81">
        <v>306.90370481403602</v>
      </c>
      <c r="G81">
        <v>76.896373393727004</v>
      </c>
      <c r="H81">
        <v>-0.51519697828432098</v>
      </c>
      <c r="I81">
        <v>0.52011552752367995</v>
      </c>
      <c r="J81">
        <v>0.83808654741757804</v>
      </c>
      <c r="K81" t="b">
        <v>1</v>
      </c>
      <c r="L81">
        <f t="shared" si="3"/>
        <v>1</v>
      </c>
    </row>
    <row r="82" spans="1:12" x14ac:dyDescent="0.3">
      <c r="A82" t="s">
        <v>27</v>
      </c>
      <c r="B82" t="s">
        <v>43</v>
      </c>
      <c r="C82">
        <v>12</v>
      </c>
      <c r="D82">
        <v>29.226879260935601</v>
      </c>
      <c r="E82">
        <v>35.629131631122497</v>
      </c>
      <c r="F82">
        <v>25.2669180246215</v>
      </c>
      <c r="G82">
        <v>26.932606478314199</v>
      </c>
      <c r="H82">
        <v>-1.0765299538009201</v>
      </c>
      <c r="I82">
        <v>-18.528333184321099</v>
      </c>
      <c r="J82">
        <v>1.1691633420513401</v>
      </c>
      <c r="K82" t="b">
        <v>1</v>
      </c>
      <c r="L82">
        <f t="shared" si="3"/>
        <v>1</v>
      </c>
    </row>
    <row r="83" spans="1:12" x14ac:dyDescent="0.3">
      <c r="A83" t="s">
        <v>14</v>
      </c>
      <c r="B83" t="s">
        <v>12</v>
      </c>
      <c r="C83">
        <v>12</v>
      </c>
      <c r="D83">
        <v>68.630634996339495</v>
      </c>
      <c r="E83">
        <v>88.661735207519598</v>
      </c>
      <c r="F83">
        <v>2.0139271926297702</v>
      </c>
      <c r="G83">
        <v>2.0436561556455302</v>
      </c>
      <c r="H83">
        <v>0.41706295108356001</v>
      </c>
      <c r="I83">
        <v>-53.090522875410301</v>
      </c>
      <c r="J83">
        <v>0.52117926703038797</v>
      </c>
      <c r="K83" t="b">
        <v>1</v>
      </c>
      <c r="L83">
        <f t="shared" si="3"/>
        <v>0</v>
      </c>
    </row>
    <row r="84" spans="1:12" x14ac:dyDescent="0.3">
      <c r="A84" t="s">
        <v>35</v>
      </c>
      <c r="B84" t="s">
        <v>12</v>
      </c>
      <c r="C84">
        <v>12</v>
      </c>
      <c r="D84">
        <v>507.02162140917198</v>
      </c>
      <c r="E84">
        <v>555.90827800716295</v>
      </c>
      <c r="F84">
        <v>3.13311643243643</v>
      </c>
      <c r="G84">
        <v>3.16523530095703</v>
      </c>
      <c r="H84">
        <v>0.32110459112127399</v>
      </c>
      <c r="I84">
        <v>-228.37452784787399</v>
      </c>
      <c r="J84">
        <v>0.62447231398872105</v>
      </c>
      <c r="K84" t="b">
        <v>1</v>
      </c>
      <c r="L84">
        <f t="shared" si="3"/>
        <v>0</v>
      </c>
    </row>
    <row r="85" spans="1:12" x14ac:dyDescent="0.3">
      <c r="A85" t="s">
        <v>24</v>
      </c>
      <c r="B85" t="s">
        <v>12</v>
      </c>
      <c r="C85">
        <v>12</v>
      </c>
      <c r="D85">
        <v>72.488117381920802</v>
      </c>
      <c r="E85">
        <v>107.370527526842</v>
      </c>
      <c r="F85">
        <v>2.4012690521048801</v>
      </c>
      <c r="G85">
        <v>2.46441131817951</v>
      </c>
      <c r="H85">
        <v>0.28553829390116697</v>
      </c>
      <c r="I85">
        <v>-68.456334650660395</v>
      </c>
      <c r="J85">
        <v>0.52984292191024296</v>
      </c>
      <c r="K85" t="b">
        <v>1</v>
      </c>
      <c r="L85">
        <f t="shared" si="3"/>
        <v>0</v>
      </c>
    </row>
    <row r="86" spans="1:12" x14ac:dyDescent="0.3">
      <c r="A86" t="s">
        <v>26</v>
      </c>
      <c r="B86" t="s">
        <v>12</v>
      </c>
      <c r="C86">
        <v>12</v>
      </c>
      <c r="D86">
        <v>407.35712736922</v>
      </c>
      <c r="E86">
        <v>530.95821420293805</v>
      </c>
      <c r="F86">
        <v>2.5217559220112</v>
      </c>
      <c r="G86">
        <v>2.5644834793944198</v>
      </c>
      <c r="H86">
        <v>0.319889573713798</v>
      </c>
      <c r="I86">
        <v>-237.922489603158</v>
      </c>
      <c r="J86">
        <v>0.53624869587479695</v>
      </c>
      <c r="K86" t="b">
        <v>1</v>
      </c>
      <c r="L86">
        <f t="shared" si="3"/>
        <v>0</v>
      </c>
    </row>
    <row r="87" spans="1:12" x14ac:dyDescent="0.3">
      <c r="A87" t="s">
        <v>25</v>
      </c>
      <c r="B87" t="s">
        <v>12</v>
      </c>
      <c r="C87">
        <v>12</v>
      </c>
      <c r="D87">
        <v>4305.6983467035698</v>
      </c>
      <c r="E87">
        <v>5044.8208710746703</v>
      </c>
      <c r="F87">
        <v>6.2427367423254996</v>
      </c>
      <c r="G87">
        <v>6.1986472495607003</v>
      </c>
      <c r="H87">
        <v>0.55473915148355801</v>
      </c>
      <c r="I87">
        <v>-279.97677803384897</v>
      </c>
      <c r="J87">
        <v>0.87657659217081996</v>
      </c>
      <c r="K87" t="b">
        <v>1</v>
      </c>
      <c r="L87">
        <f t="shared" si="3"/>
        <v>0</v>
      </c>
    </row>
    <row r="88" spans="1:12" x14ac:dyDescent="0.3">
      <c r="A88" t="s">
        <v>18</v>
      </c>
      <c r="B88" t="s">
        <v>12</v>
      </c>
      <c r="C88">
        <v>12</v>
      </c>
      <c r="D88">
        <v>2893.1220016280099</v>
      </c>
      <c r="E88">
        <v>3162.6366331549302</v>
      </c>
      <c r="F88">
        <v>6.4563552747033901</v>
      </c>
      <c r="G88">
        <v>6.2174050858305199</v>
      </c>
      <c r="H88">
        <v>-2.6584855219661199</v>
      </c>
      <c r="I88">
        <v>2893.1220016280099</v>
      </c>
      <c r="J88">
        <v>1.3715008245689799</v>
      </c>
      <c r="K88" t="b">
        <v>1</v>
      </c>
      <c r="L88">
        <f t="shared" si="3"/>
        <v>1</v>
      </c>
    </row>
    <row r="89" spans="1:12" x14ac:dyDescent="0.3">
      <c r="A89" t="s">
        <v>39</v>
      </c>
      <c r="B89" t="s">
        <v>12</v>
      </c>
      <c r="C89">
        <v>12</v>
      </c>
      <c r="D89">
        <v>556.28335328128799</v>
      </c>
      <c r="E89">
        <v>633.00364499094803</v>
      </c>
      <c r="F89">
        <v>3.6815787636301498</v>
      </c>
      <c r="G89">
        <v>3.76857507802973</v>
      </c>
      <c r="H89">
        <v>-0.36050627492933202</v>
      </c>
      <c r="I89">
        <v>-519.61336249439705</v>
      </c>
      <c r="J89">
        <v>1.10984927774437</v>
      </c>
      <c r="K89" t="b">
        <v>1</v>
      </c>
      <c r="L89">
        <f t="shared" si="3"/>
        <v>1</v>
      </c>
    </row>
    <row r="90" spans="1:12" x14ac:dyDescent="0.3">
      <c r="A90" t="s">
        <v>38</v>
      </c>
      <c r="B90" t="s">
        <v>12</v>
      </c>
      <c r="C90">
        <v>12</v>
      </c>
      <c r="D90">
        <v>933.45862229501495</v>
      </c>
      <c r="E90">
        <v>1151.5478574399201</v>
      </c>
      <c r="F90">
        <v>3.8307553059105799</v>
      </c>
      <c r="G90">
        <v>3.9401096516057401</v>
      </c>
      <c r="H90">
        <v>0.21591845861526299</v>
      </c>
      <c r="I90">
        <v>-844.41089886077998</v>
      </c>
      <c r="J90">
        <v>1.0297148752046099</v>
      </c>
      <c r="K90" t="b">
        <v>1</v>
      </c>
      <c r="L90">
        <f t="shared" si="3"/>
        <v>0</v>
      </c>
    </row>
    <row r="91" spans="1:12" x14ac:dyDescent="0.3">
      <c r="A91" t="s">
        <v>22</v>
      </c>
      <c r="B91" t="s">
        <v>12</v>
      </c>
      <c r="C91">
        <v>12</v>
      </c>
      <c r="D91">
        <v>1188.78428337948</v>
      </c>
      <c r="E91">
        <v>1399.0562461459499</v>
      </c>
      <c r="F91">
        <v>2.3148336623334602</v>
      </c>
      <c r="G91">
        <v>2.30232433540943</v>
      </c>
      <c r="H91">
        <v>0.51636442231690705</v>
      </c>
      <c r="I91">
        <v>409.61064758817201</v>
      </c>
      <c r="J91">
        <v>0.59092317136171002</v>
      </c>
      <c r="K91" t="b">
        <v>1</v>
      </c>
      <c r="L91">
        <f t="shared" si="3"/>
        <v>0</v>
      </c>
    </row>
    <row r="92" spans="1:12" x14ac:dyDescent="0.3">
      <c r="A92" t="s">
        <v>28</v>
      </c>
      <c r="B92" t="s">
        <v>12</v>
      </c>
      <c r="C92">
        <v>12</v>
      </c>
      <c r="D92">
        <v>766.68524986553996</v>
      </c>
      <c r="E92">
        <v>1101.4450147241</v>
      </c>
      <c r="F92">
        <v>2.5595971566270701</v>
      </c>
      <c r="G92">
        <v>2.6004937338307301</v>
      </c>
      <c r="H92">
        <v>0.115284879013484</v>
      </c>
      <c r="I92">
        <v>-341.27921104151699</v>
      </c>
      <c r="J92">
        <v>0.63065432763682405</v>
      </c>
      <c r="K92" t="b">
        <v>1</v>
      </c>
      <c r="L92">
        <f t="shared" si="3"/>
        <v>0</v>
      </c>
    </row>
    <row r="93" spans="1:12" x14ac:dyDescent="0.3">
      <c r="A93" t="s">
        <v>21</v>
      </c>
      <c r="B93" t="s">
        <v>12</v>
      </c>
      <c r="C93">
        <v>12</v>
      </c>
      <c r="D93">
        <v>473.684536066438</v>
      </c>
      <c r="E93">
        <v>533.42043492360995</v>
      </c>
      <c r="F93">
        <v>2.2898641708521401</v>
      </c>
      <c r="G93">
        <v>2.2991538575933501</v>
      </c>
      <c r="H93">
        <v>0.31644586206073499</v>
      </c>
      <c r="I93">
        <v>-131.88675037670399</v>
      </c>
      <c r="J93">
        <v>0.52937898627292201</v>
      </c>
      <c r="K93" t="b">
        <v>1</v>
      </c>
      <c r="L93">
        <f t="shared" si="3"/>
        <v>0</v>
      </c>
    </row>
    <row r="94" spans="1:12" x14ac:dyDescent="0.3">
      <c r="A94" t="s">
        <v>20</v>
      </c>
      <c r="B94" t="s">
        <v>12</v>
      </c>
      <c r="C94">
        <v>12</v>
      </c>
      <c r="D94">
        <v>350.21059457798702</v>
      </c>
      <c r="E94">
        <v>477.47536400427799</v>
      </c>
      <c r="F94">
        <v>2.2883846680226898</v>
      </c>
      <c r="G94">
        <v>2.3015545809979998</v>
      </c>
      <c r="H94">
        <v>0.73167183808007397</v>
      </c>
      <c r="I94">
        <v>-29.147248081384401</v>
      </c>
      <c r="J94">
        <v>0.56800108016620798</v>
      </c>
      <c r="K94" t="b">
        <v>1</v>
      </c>
      <c r="L94">
        <f t="shared" si="3"/>
        <v>0</v>
      </c>
    </row>
    <row r="95" spans="1:12" x14ac:dyDescent="0.3">
      <c r="A95" t="s">
        <v>30</v>
      </c>
      <c r="B95" t="s">
        <v>12</v>
      </c>
      <c r="C95">
        <v>12</v>
      </c>
      <c r="D95">
        <v>3922.4575281970501</v>
      </c>
      <c r="E95">
        <v>4584.6760189655897</v>
      </c>
      <c r="F95">
        <v>3.1173654563575899</v>
      </c>
      <c r="G95">
        <v>3.1126696199900401</v>
      </c>
      <c r="H95">
        <v>0.41134750188008201</v>
      </c>
      <c r="I95">
        <v>-807.09516533527596</v>
      </c>
      <c r="J95">
        <v>0.67095121331600505</v>
      </c>
      <c r="K95" t="b">
        <v>1</v>
      </c>
      <c r="L95">
        <f t="shared" si="3"/>
        <v>0</v>
      </c>
    </row>
    <row r="96" spans="1:12" x14ac:dyDescent="0.3">
      <c r="A96" t="s">
        <v>23</v>
      </c>
      <c r="B96" t="s">
        <v>12</v>
      </c>
      <c r="C96">
        <v>12</v>
      </c>
      <c r="D96">
        <v>867.81944080810194</v>
      </c>
      <c r="E96">
        <v>1016.5263967516</v>
      </c>
      <c r="F96">
        <v>2.3306759387538798</v>
      </c>
      <c r="G96">
        <v>2.3274139940488499</v>
      </c>
      <c r="H96">
        <v>0.49201186401927899</v>
      </c>
      <c r="I96">
        <v>-30.6480640365019</v>
      </c>
      <c r="J96">
        <v>0.489326902622154</v>
      </c>
      <c r="K96" t="b">
        <v>1</v>
      </c>
      <c r="L96">
        <f t="shared" si="3"/>
        <v>0</v>
      </c>
    </row>
    <row r="97" spans="1:12" x14ac:dyDescent="0.3">
      <c r="A97" t="s">
        <v>19</v>
      </c>
      <c r="B97" t="s">
        <v>12</v>
      </c>
      <c r="C97">
        <v>12</v>
      </c>
      <c r="D97">
        <v>485.18161894842501</v>
      </c>
      <c r="E97">
        <v>569.89047154033096</v>
      </c>
      <c r="F97">
        <v>2.2049292759136301</v>
      </c>
      <c r="G97">
        <v>2.2103252098796702</v>
      </c>
      <c r="H97">
        <v>0.63667268735484395</v>
      </c>
      <c r="I97">
        <v>-87.778188291076404</v>
      </c>
      <c r="J97">
        <v>0.43482192529351699</v>
      </c>
      <c r="K97" t="b">
        <v>1</v>
      </c>
      <c r="L97">
        <f t="shared" si="3"/>
        <v>0</v>
      </c>
    </row>
    <row r="98" spans="1:12" x14ac:dyDescent="0.3">
      <c r="A98" t="s">
        <v>15</v>
      </c>
      <c r="B98" t="s">
        <v>12</v>
      </c>
      <c r="C98">
        <v>12</v>
      </c>
      <c r="D98">
        <v>1771.5415525789999</v>
      </c>
      <c r="E98">
        <v>2409.3913893690701</v>
      </c>
      <c r="F98">
        <v>2.0318458082693498</v>
      </c>
      <c r="G98">
        <v>2.0386411075231901</v>
      </c>
      <c r="H98">
        <v>0.88249503428411002</v>
      </c>
      <c r="I98">
        <v>-601.33857298935902</v>
      </c>
      <c r="J98">
        <v>0.49529450512955497</v>
      </c>
      <c r="K98" t="b">
        <v>1</v>
      </c>
      <c r="L98">
        <f t="shared" si="3"/>
        <v>0</v>
      </c>
    </row>
    <row r="99" spans="1:12" x14ac:dyDescent="0.3">
      <c r="A99" t="s">
        <v>29</v>
      </c>
      <c r="B99" t="s">
        <v>12</v>
      </c>
      <c r="C99">
        <v>12</v>
      </c>
      <c r="D99">
        <v>1434.0140822621099</v>
      </c>
      <c r="E99">
        <v>1774.3898440538201</v>
      </c>
      <c r="F99">
        <v>2.9911087649227999</v>
      </c>
      <c r="G99">
        <v>2.97321895371635</v>
      </c>
      <c r="H99">
        <v>0.13149309963974901</v>
      </c>
      <c r="I99">
        <v>44.776135554859103</v>
      </c>
      <c r="J99">
        <v>0.61859803340393105</v>
      </c>
      <c r="K99" t="b">
        <v>1</v>
      </c>
      <c r="L99">
        <f t="shared" si="3"/>
        <v>0</v>
      </c>
    </row>
    <row r="100" spans="1:12" x14ac:dyDescent="0.3">
      <c r="A100" t="s">
        <v>40</v>
      </c>
      <c r="B100" t="s">
        <v>12</v>
      </c>
      <c r="C100">
        <v>12</v>
      </c>
      <c r="D100">
        <v>677.02351456360202</v>
      </c>
      <c r="E100">
        <v>877.12142027036703</v>
      </c>
      <c r="F100">
        <v>4.3391280708828202</v>
      </c>
      <c r="G100">
        <v>4.18800775834075</v>
      </c>
      <c r="H100">
        <v>-0.76178355028768696</v>
      </c>
      <c r="I100">
        <v>593.84725690965399</v>
      </c>
      <c r="J100">
        <v>0.76508797856484101</v>
      </c>
      <c r="K100" t="b">
        <v>1</v>
      </c>
      <c r="L100">
        <f t="shared" si="3"/>
        <v>1</v>
      </c>
    </row>
    <row r="101" spans="1:12" x14ac:dyDescent="0.3">
      <c r="A101" t="s">
        <v>32</v>
      </c>
      <c r="B101" t="s">
        <v>12</v>
      </c>
      <c r="C101">
        <v>12</v>
      </c>
      <c r="D101">
        <v>2235.1507557292598</v>
      </c>
      <c r="E101">
        <v>2991.8396586966201</v>
      </c>
      <c r="F101">
        <v>2.9836766169265898</v>
      </c>
      <c r="G101">
        <v>2.95234771205901</v>
      </c>
      <c r="H101">
        <v>0.65738528173765198</v>
      </c>
      <c r="I101">
        <v>450.97163861892398</v>
      </c>
      <c r="J101">
        <v>0.51428587439711304</v>
      </c>
      <c r="K101" t="b">
        <v>1</v>
      </c>
      <c r="L101">
        <f t="shared" si="3"/>
        <v>0</v>
      </c>
    </row>
    <row r="102" spans="1:12" x14ac:dyDescent="0.3">
      <c r="A102" t="s">
        <v>37</v>
      </c>
      <c r="B102" t="s">
        <v>12</v>
      </c>
      <c r="C102">
        <v>12</v>
      </c>
      <c r="D102">
        <v>722.73120083717799</v>
      </c>
      <c r="E102">
        <v>885.30080266514506</v>
      </c>
      <c r="F102">
        <v>4.1488229343984901</v>
      </c>
      <c r="G102">
        <v>4.1658338983036796</v>
      </c>
      <c r="H102">
        <v>-0.43655565114487599</v>
      </c>
      <c r="I102">
        <v>148.433009340555</v>
      </c>
      <c r="J102">
        <v>0.92787297826623305</v>
      </c>
      <c r="K102" t="b">
        <v>1</v>
      </c>
      <c r="L102">
        <f t="shared" si="3"/>
        <v>1</v>
      </c>
    </row>
    <row r="103" spans="1:12" x14ac:dyDescent="0.3">
      <c r="A103" t="s">
        <v>34</v>
      </c>
      <c r="B103" t="s">
        <v>12</v>
      </c>
      <c r="C103">
        <v>12</v>
      </c>
      <c r="D103">
        <v>2001.8111938964701</v>
      </c>
      <c r="E103">
        <v>2547.1405615733402</v>
      </c>
      <c r="F103">
        <v>3.0247744465087698</v>
      </c>
      <c r="G103">
        <v>2.97080557973212</v>
      </c>
      <c r="H103">
        <v>0.862873765986088</v>
      </c>
      <c r="I103">
        <v>893.70688477458395</v>
      </c>
      <c r="J103">
        <v>0.52854730179986698</v>
      </c>
      <c r="K103" t="b">
        <v>1</v>
      </c>
      <c r="L103">
        <f t="shared" si="3"/>
        <v>0</v>
      </c>
    </row>
    <row r="104" spans="1:12" x14ac:dyDescent="0.3">
      <c r="A104" t="s">
        <v>13</v>
      </c>
      <c r="B104" t="s">
        <v>12</v>
      </c>
      <c r="C104">
        <v>12</v>
      </c>
      <c r="D104">
        <v>145.59442899929999</v>
      </c>
      <c r="E104">
        <v>182.458142077834</v>
      </c>
      <c r="F104">
        <v>1.8992929532237299</v>
      </c>
      <c r="G104">
        <v>1.90059207456143</v>
      </c>
      <c r="H104">
        <v>0.24930535137766999</v>
      </c>
      <c r="I104">
        <v>11.1756534773611</v>
      </c>
      <c r="J104">
        <v>0.51182953820295096</v>
      </c>
      <c r="K104" t="b">
        <v>1</v>
      </c>
      <c r="L104">
        <f t="shared" si="3"/>
        <v>0</v>
      </c>
    </row>
    <row r="105" spans="1:12" x14ac:dyDescent="0.3">
      <c r="A105" t="s">
        <v>42</v>
      </c>
      <c r="B105" t="s">
        <v>12</v>
      </c>
      <c r="C105">
        <v>12</v>
      </c>
      <c r="D105">
        <v>118.82480677353701</v>
      </c>
      <c r="E105">
        <v>150.67770877063401</v>
      </c>
      <c r="F105">
        <v>4.2601945761969997</v>
      </c>
      <c r="G105">
        <v>4.406124893896</v>
      </c>
      <c r="H105">
        <v>0.132352496733362</v>
      </c>
      <c r="I105">
        <v>-107.52972044265999</v>
      </c>
      <c r="J105">
        <v>0.93636211973925998</v>
      </c>
      <c r="K105" t="b">
        <v>1</v>
      </c>
      <c r="L105">
        <f t="shared" si="3"/>
        <v>0</v>
      </c>
    </row>
    <row r="106" spans="1:12" x14ac:dyDescent="0.3">
      <c r="A106" t="s">
        <v>16</v>
      </c>
      <c r="B106" t="s">
        <v>12</v>
      </c>
      <c r="C106">
        <v>12</v>
      </c>
      <c r="D106">
        <v>1884.3849511461001</v>
      </c>
      <c r="E106">
        <v>2451.7709598430902</v>
      </c>
      <c r="F106">
        <v>3.55275838213969</v>
      </c>
      <c r="G106">
        <v>3.6576648578492299</v>
      </c>
      <c r="H106">
        <v>0.58071725333782798</v>
      </c>
      <c r="I106">
        <v>-1883.59787031829</v>
      </c>
      <c r="J106">
        <v>0.79288534224406604</v>
      </c>
      <c r="K106" t="b">
        <v>1</v>
      </c>
      <c r="L106">
        <f t="shared" si="3"/>
        <v>0</v>
      </c>
    </row>
    <row r="107" spans="1:12" x14ac:dyDescent="0.3">
      <c r="A107" t="s">
        <v>11</v>
      </c>
      <c r="B107" t="s">
        <v>12</v>
      </c>
      <c r="C107">
        <v>12</v>
      </c>
      <c r="D107">
        <v>5082.3432692451597</v>
      </c>
      <c r="E107">
        <v>6478.8552480265898</v>
      </c>
      <c r="F107">
        <v>1.8808432057015301</v>
      </c>
      <c r="G107">
        <v>1.8709267278008299</v>
      </c>
      <c r="H107">
        <v>0.79178754211808899</v>
      </c>
      <c r="I107">
        <v>-294.19789936251902</v>
      </c>
      <c r="J107">
        <v>0.55225034642061699</v>
      </c>
      <c r="K107" t="b">
        <v>1</v>
      </c>
      <c r="L107">
        <f t="shared" si="3"/>
        <v>0</v>
      </c>
    </row>
    <row r="108" spans="1:12" x14ac:dyDescent="0.3">
      <c r="A108" t="s">
        <v>33</v>
      </c>
      <c r="B108" t="s">
        <v>12</v>
      </c>
      <c r="C108">
        <v>12</v>
      </c>
      <c r="D108">
        <v>681.08437664402697</v>
      </c>
      <c r="E108">
        <v>912.75103848528397</v>
      </c>
      <c r="F108">
        <v>5.3407567402795602</v>
      </c>
      <c r="G108">
        <v>5.5443728249205204</v>
      </c>
      <c r="H108">
        <v>-1.7944143374611401</v>
      </c>
      <c r="I108">
        <v>-491.48381038841097</v>
      </c>
      <c r="J108">
        <v>1.14882671072624</v>
      </c>
      <c r="K108" t="b">
        <v>1</v>
      </c>
      <c r="L108">
        <f t="shared" si="3"/>
        <v>1</v>
      </c>
    </row>
    <row r="109" spans="1:12" x14ac:dyDescent="0.3">
      <c r="A109" t="s">
        <v>27</v>
      </c>
      <c r="B109" t="s">
        <v>12</v>
      </c>
      <c r="C109">
        <v>12</v>
      </c>
      <c r="D109">
        <v>193.90870088269901</v>
      </c>
      <c r="E109">
        <v>228.45185542152399</v>
      </c>
      <c r="F109">
        <v>2.5490308594715101</v>
      </c>
      <c r="G109">
        <v>2.56787124391745</v>
      </c>
      <c r="H109">
        <v>-0.12178801705217</v>
      </c>
      <c r="I109">
        <v>-77.725232220964003</v>
      </c>
      <c r="J109">
        <v>0.66452340973498503</v>
      </c>
      <c r="K109" t="b">
        <v>1</v>
      </c>
      <c r="L109">
        <f t="shared" si="3"/>
        <v>1</v>
      </c>
    </row>
    <row r="110" spans="1:12" x14ac:dyDescent="0.3">
      <c r="A110" t="s">
        <v>14</v>
      </c>
      <c r="B110" t="s">
        <v>31</v>
      </c>
      <c r="C110">
        <v>12</v>
      </c>
      <c r="D110">
        <v>3276.9567889372101</v>
      </c>
      <c r="E110">
        <v>3552.4133693091098</v>
      </c>
      <c r="F110">
        <v>35.106563812609998</v>
      </c>
      <c r="G110">
        <v>28.866125065925701</v>
      </c>
      <c r="H110">
        <v>-1.2382995761253801</v>
      </c>
      <c r="I110">
        <v>3237.1798799992598</v>
      </c>
      <c r="J110">
        <v>2.3871501554651702</v>
      </c>
      <c r="K110" t="b">
        <v>1</v>
      </c>
      <c r="L110">
        <f t="shared" si="3"/>
        <v>1</v>
      </c>
    </row>
    <row r="111" spans="1:12" x14ac:dyDescent="0.3">
      <c r="A111" t="s">
        <v>35</v>
      </c>
      <c r="B111" t="s">
        <v>31</v>
      </c>
      <c r="C111">
        <v>12</v>
      </c>
      <c r="D111">
        <v>2586.7299640391798</v>
      </c>
      <c r="E111">
        <v>3069.3830075914002</v>
      </c>
      <c r="F111">
        <v>7.7110852328900004</v>
      </c>
      <c r="G111">
        <v>7.3015650632332303</v>
      </c>
      <c r="H111">
        <v>0.64784080947672396</v>
      </c>
      <c r="I111">
        <v>2482.3367753869702</v>
      </c>
      <c r="J111">
        <v>0.96313003584601298</v>
      </c>
      <c r="K111" t="b">
        <v>1</v>
      </c>
      <c r="L111">
        <f t="shared" si="3"/>
        <v>0</v>
      </c>
    </row>
    <row r="112" spans="1:12" x14ac:dyDescent="0.3">
      <c r="A112" t="s">
        <v>24</v>
      </c>
      <c r="B112" t="s">
        <v>31</v>
      </c>
      <c r="C112">
        <v>12</v>
      </c>
      <c r="D112">
        <v>776.58218555466397</v>
      </c>
      <c r="E112">
        <v>895.643385883007</v>
      </c>
      <c r="F112">
        <v>8.8917262207266106</v>
      </c>
      <c r="G112">
        <v>9.2865319493586505</v>
      </c>
      <c r="H112">
        <v>-2.9846782681468599E-2</v>
      </c>
      <c r="I112">
        <v>-464.864560380787</v>
      </c>
      <c r="J112">
        <v>1.3884489371822699</v>
      </c>
      <c r="K112" t="b">
        <v>1</v>
      </c>
      <c r="L112">
        <f t="shared" si="3"/>
        <v>1</v>
      </c>
    </row>
    <row r="113" spans="1:12" x14ac:dyDescent="0.3">
      <c r="A113" t="s">
        <v>26</v>
      </c>
      <c r="B113" t="s">
        <v>31</v>
      </c>
      <c r="C113">
        <v>12</v>
      </c>
      <c r="D113">
        <v>6159.4894439749796</v>
      </c>
      <c r="E113">
        <v>7164.8374347356303</v>
      </c>
      <c r="F113">
        <v>6.7976730909474004</v>
      </c>
      <c r="G113">
        <v>6.9535257922178202</v>
      </c>
      <c r="H113">
        <v>-3.2964507881739102E-2</v>
      </c>
      <c r="I113">
        <v>-4032.9924061689599</v>
      </c>
      <c r="J113">
        <v>1.41334207477347</v>
      </c>
      <c r="K113" t="b">
        <v>1</v>
      </c>
      <c r="L113">
        <f t="shared" si="3"/>
        <v>1</v>
      </c>
    </row>
    <row r="114" spans="1:12" x14ac:dyDescent="0.3">
      <c r="A114" t="s">
        <v>25</v>
      </c>
      <c r="B114" t="s">
        <v>31</v>
      </c>
      <c r="C114">
        <v>12</v>
      </c>
      <c r="D114">
        <v>10359.508970908701</v>
      </c>
      <c r="E114">
        <v>13004.313567073399</v>
      </c>
      <c r="F114">
        <v>3.2331856392625999</v>
      </c>
      <c r="G114">
        <v>3.2635809179730502</v>
      </c>
      <c r="H114">
        <v>0.66045876222125799</v>
      </c>
      <c r="I114">
        <v>-4537.4669142036701</v>
      </c>
      <c r="J114">
        <v>0.52765431945220798</v>
      </c>
      <c r="K114" t="b">
        <v>1</v>
      </c>
      <c r="L114">
        <f t="shared" si="3"/>
        <v>0</v>
      </c>
    </row>
    <row r="115" spans="1:12" x14ac:dyDescent="0.3">
      <c r="A115" t="s">
        <v>18</v>
      </c>
      <c r="B115" t="s">
        <v>31</v>
      </c>
      <c r="C115">
        <v>12</v>
      </c>
      <c r="D115">
        <v>6992.1023612399104</v>
      </c>
      <c r="E115">
        <v>8800.8763919582398</v>
      </c>
      <c r="F115">
        <v>6.3546052597190599</v>
      </c>
      <c r="G115">
        <v>6.6837152050784798</v>
      </c>
      <c r="H115">
        <v>-0.270593504456134</v>
      </c>
      <c r="I115">
        <v>-6655.7917691356597</v>
      </c>
      <c r="J115">
        <v>1.32459611999119</v>
      </c>
      <c r="K115" t="b">
        <v>1</v>
      </c>
      <c r="L115">
        <f t="shared" si="3"/>
        <v>1</v>
      </c>
    </row>
    <row r="116" spans="1:12" x14ac:dyDescent="0.3">
      <c r="A116" t="s">
        <v>39</v>
      </c>
      <c r="B116" t="s">
        <v>31</v>
      </c>
      <c r="C116">
        <v>12</v>
      </c>
      <c r="D116">
        <v>1133.6976447744701</v>
      </c>
      <c r="E116">
        <v>1428.5371779613699</v>
      </c>
      <c r="F116">
        <v>3.36656607601397</v>
      </c>
      <c r="G116">
        <v>3.41245264564099</v>
      </c>
      <c r="H116">
        <v>0.30799558091603102</v>
      </c>
      <c r="I116">
        <v>-393.01711031969199</v>
      </c>
      <c r="J116">
        <v>0.739565951046943</v>
      </c>
      <c r="K116" t="b">
        <v>1</v>
      </c>
      <c r="L116">
        <f t="shared" si="3"/>
        <v>0</v>
      </c>
    </row>
    <row r="117" spans="1:12" x14ac:dyDescent="0.3">
      <c r="A117" t="s">
        <v>38</v>
      </c>
      <c r="B117" t="s">
        <v>31</v>
      </c>
      <c r="C117">
        <v>12</v>
      </c>
      <c r="D117">
        <v>5172.5529557180198</v>
      </c>
      <c r="E117">
        <v>6359.15516505699</v>
      </c>
      <c r="F117">
        <v>4.7502230267397296</v>
      </c>
      <c r="G117">
        <v>4.58795218200805</v>
      </c>
      <c r="H117">
        <v>-7.7320665901361899E-2</v>
      </c>
      <c r="I117">
        <v>4312.3369970494196</v>
      </c>
      <c r="J117">
        <v>0.90281486109005804</v>
      </c>
      <c r="K117" t="b">
        <v>1</v>
      </c>
      <c r="L117">
        <f t="shared" si="3"/>
        <v>1</v>
      </c>
    </row>
    <row r="118" spans="1:12" x14ac:dyDescent="0.3">
      <c r="A118" t="s">
        <v>22</v>
      </c>
      <c r="B118" t="s">
        <v>31</v>
      </c>
      <c r="C118">
        <v>12</v>
      </c>
      <c r="D118">
        <v>16824.8433271461</v>
      </c>
      <c r="E118">
        <v>19399.9497765694</v>
      </c>
      <c r="F118">
        <v>5.34678004302841</v>
      </c>
      <c r="G118">
        <v>5.5306205084241098</v>
      </c>
      <c r="H118">
        <v>0.67786652941049197</v>
      </c>
      <c r="I118">
        <v>-15073.6211348902</v>
      </c>
      <c r="J118">
        <v>0.55832885261774201</v>
      </c>
      <c r="K118" t="b">
        <v>1</v>
      </c>
      <c r="L118">
        <f t="shared" si="3"/>
        <v>0</v>
      </c>
    </row>
    <row r="119" spans="1:12" x14ac:dyDescent="0.3">
      <c r="A119" t="s">
        <v>28</v>
      </c>
      <c r="B119" t="s">
        <v>31</v>
      </c>
      <c r="C119">
        <v>12</v>
      </c>
      <c r="D119">
        <v>4374.8525938338398</v>
      </c>
      <c r="E119">
        <v>6131.2756664426097</v>
      </c>
      <c r="F119">
        <v>2.94922981469561</v>
      </c>
      <c r="G119">
        <v>3.0090910662040602</v>
      </c>
      <c r="H119">
        <v>0.74028477563294304</v>
      </c>
      <c r="I119">
        <v>-1722.9869088067801</v>
      </c>
      <c r="J119">
        <v>0.70622354897093298</v>
      </c>
      <c r="K119" t="b">
        <v>1</v>
      </c>
      <c r="L119">
        <f t="shared" si="3"/>
        <v>0</v>
      </c>
    </row>
    <row r="120" spans="1:12" x14ac:dyDescent="0.3">
      <c r="A120" t="s">
        <v>21</v>
      </c>
      <c r="B120" t="s">
        <v>31</v>
      </c>
      <c r="C120">
        <v>12</v>
      </c>
      <c r="D120">
        <v>18079.136183017799</v>
      </c>
      <c r="E120">
        <v>24320.954541785901</v>
      </c>
      <c r="F120">
        <v>4.8433230868018997</v>
      </c>
      <c r="G120">
        <v>5.0022130036365597</v>
      </c>
      <c r="H120">
        <v>0.76420104876709105</v>
      </c>
      <c r="I120">
        <v>-14087.577063680001</v>
      </c>
      <c r="J120">
        <v>0.36352175428623301</v>
      </c>
      <c r="K120" t="b">
        <v>1</v>
      </c>
      <c r="L120">
        <f t="shared" si="3"/>
        <v>0</v>
      </c>
    </row>
    <row r="121" spans="1:12" x14ac:dyDescent="0.3">
      <c r="A121" t="s">
        <v>20</v>
      </c>
      <c r="B121" t="s">
        <v>31</v>
      </c>
      <c r="C121">
        <v>12</v>
      </c>
      <c r="D121">
        <v>8284.6258206692492</v>
      </c>
      <c r="E121">
        <v>11331.4737489535</v>
      </c>
      <c r="F121">
        <v>5.0423456725095299</v>
      </c>
      <c r="G121">
        <v>5.1205135622786297</v>
      </c>
      <c r="H121">
        <v>0.71894004515606003</v>
      </c>
      <c r="I121">
        <v>-3725.2044232834401</v>
      </c>
      <c r="J121">
        <v>0.46444947451084601</v>
      </c>
      <c r="K121" t="b">
        <v>1</v>
      </c>
      <c r="L121">
        <f t="shared" si="3"/>
        <v>0</v>
      </c>
    </row>
    <row r="122" spans="1:12" x14ac:dyDescent="0.3">
      <c r="A122" t="s">
        <v>30</v>
      </c>
      <c r="B122" t="s">
        <v>31</v>
      </c>
      <c r="C122">
        <v>12</v>
      </c>
      <c r="D122">
        <v>19500.539950010399</v>
      </c>
      <c r="E122">
        <v>22658.0116740872</v>
      </c>
      <c r="F122">
        <v>2.7447672538641901</v>
      </c>
      <c r="G122">
        <v>2.7162534851476701</v>
      </c>
      <c r="H122">
        <v>0.83100466616198299</v>
      </c>
      <c r="I122">
        <v>8645.3507507576105</v>
      </c>
      <c r="J122">
        <v>0.50319277933631301</v>
      </c>
      <c r="K122" t="b">
        <v>1</v>
      </c>
      <c r="L122">
        <f t="shared" si="3"/>
        <v>0</v>
      </c>
    </row>
    <row r="123" spans="1:12" x14ac:dyDescent="0.3">
      <c r="A123" t="s">
        <v>23</v>
      </c>
      <c r="B123" t="s">
        <v>31</v>
      </c>
      <c r="C123">
        <v>12</v>
      </c>
      <c r="D123">
        <v>7916.5144064869801</v>
      </c>
      <c r="E123">
        <v>10726.519570389601</v>
      </c>
      <c r="F123">
        <v>3.1022582949445101</v>
      </c>
      <c r="G123">
        <v>3.0844359646271999</v>
      </c>
      <c r="H123">
        <v>0.78599839506492797</v>
      </c>
      <c r="I123">
        <v>-457.83145111592802</v>
      </c>
      <c r="J123">
        <v>0.68401973442680997</v>
      </c>
      <c r="K123" t="b">
        <v>1</v>
      </c>
      <c r="L123">
        <f t="shared" si="3"/>
        <v>0</v>
      </c>
    </row>
    <row r="124" spans="1:12" x14ac:dyDescent="0.3">
      <c r="A124" t="s">
        <v>19</v>
      </c>
      <c r="B124" t="s">
        <v>31</v>
      </c>
      <c r="C124">
        <v>12</v>
      </c>
      <c r="D124">
        <v>1318.6569944856701</v>
      </c>
      <c r="E124">
        <v>1483.8524371477199</v>
      </c>
      <c r="F124">
        <v>2.9856826961230798</v>
      </c>
      <c r="G124">
        <v>2.9725625909352602</v>
      </c>
      <c r="H124">
        <v>0.70416859463926895</v>
      </c>
      <c r="I124">
        <v>38.522920165003598</v>
      </c>
      <c r="J124">
        <v>0.51110937943510604</v>
      </c>
      <c r="K124" t="b">
        <v>1</v>
      </c>
      <c r="L124">
        <f t="shared" si="3"/>
        <v>0</v>
      </c>
    </row>
    <row r="125" spans="1:12" x14ac:dyDescent="0.3">
      <c r="A125" t="s">
        <v>15</v>
      </c>
      <c r="B125" t="s">
        <v>31</v>
      </c>
      <c r="C125">
        <v>12</v>
      </c>
      <c r="D125">
        <v>29914.1297697763</v>
      </c>
      <c r="E125">
        <v>35300.890707052698</v>
      </c>
      <c r="F125">
        <v>5.4976587722782897</v>
      </c>
      <c r="G125">
        <v>5.4398280304349198</v>
      </c>
      <c r="H125">
        <v>0.28249128758421399</v>
      </c>
      <c r="I125">
        <v>5732.5350745114101</v>
      </c>
      <c r="J125">
        <v>0.59567960322980895</v>
      </c>
      <c r="K125" t="b">
        <v>1</v>
      </c>
      <c r="L125">
        <f t="shared" si="3"/>
        <v>0</v>
      </c>
    </row>
    <row r="126" spans="1:12" x14ac:dyDescent="0.3">
      <c r="A126" t="s">
        <v>29</v>
      </c>
      <c r="B126" t="s">
        <v>31</v>
      </c>
      <c r="C126">
        <v>12</v>
      </c>
      <c r="D126">
        <v>6390.4792401104996</v>
      </c>
      <c r="E126">
        <v>7375.5312309687097</v>
      </c>
      <c r="F126">
        <v>4.7214285413038901</v>
      </c>
      <c r="G126">
        <v>4.8191075721400498</v>
      </c>
      <c r="H126">
        <v>0.176629520311475</v>
      </c>
      <c r="I126">
        <v>-4040.9799111400998</v>
      </c>
      <c r="J126">
        <v>0.77352538518802505</v>
      </c>
      <c r="K126" t="b">
        <v>1</v>
      </c>
      <c r="L126">
        <f t="shared" si="3"/>
        <v>0</v>
      </c>
    </row>
    <row r="127" spans="1:12" x14ac:dyDescent="0.3">
      <c r="A127" t="s">
        <v>40</v>
      </c>
      <c r="B127" t="s">
        <v>31</v>
      </c>
      <c r="C127">
        <v>12</v>
      </c>
      <c r="D127">
        <v>2930.84833197952</v>
      </c>
      <c r="E127">
        <v>3544.92847602643</v>
      </c>
      <c r="F127">
        <v>4.7103783730294104</v>
      </c>
      <c r="G127">
        <v>4.8660200673610703</v>
      </c>
      <c r="H127">
        <v>0.52633871367996699</v>
      </c>
      <c r="I127">
        <v>-2686.3507538395802</v>
      </c>
      <c r="J127">
        <v>0.67725880028993102</v>
      </c>
      <c r="K127" t="b">
        <v>1</v>
      </c>
      <c r="L127">
        <f t="shared" si="3"/>
        <v>0</v>
      </c>
    </row>
    <row r="128" spans="1:12" x14ac:dyDescent="0.3">
      <c r="A128" t="s">
        <v>32</v>
      </c>
      <c r="B128" t="s">
        <v>31</v>
      </c>
      <c r="C128">
        <v>12</v>
      </c>
      <c r="D128">
        <v>17612.509358457501</v>
      </c>
      <c r="E128">
        <v>22375.927253551199</v>
      </c>
      <c r="F128">
        <v>8.0688892414931406</v>
      </c>
      <c r="G128">
        <v>7.5698326788068302</v>
      </c>
      <c r="H128">
        <v>-0.25582577167948201</v>
      </c>
      <c r="I128">
        <v>14355.1684931624</v>
      </c>
      <c r="J128">
        <v>1.2925683616775101</v>
      </c>
      <c r="K128" t="b">
        <v>1</v>
      </c>
      <c r="L128">
        <f t="shared" si="3"/>
        <v>1</v>
      </c>
    </row>
    <row r="129" spans="1:12" x14ac:dyDescent="0.3">
      <c r="A129" t="s">
        <v>37</v>
      </c>
      <c r="B129" t="s">
        <v>31</v>
      </c>
      <c r="C129">
        <v>12</v>
      </c>
      <c r="D129">
        <v>1636.3337465603499</v>
      </c>
      <c r="E129">
        <v>1895.5779661586701</v>
      </c>
      <c r="F129">
        <v>3.8990162174385299</v>
      </c>
      <c r="G129">
        <v>3.8746871429992198</v>
      </c>
      <c r="H129">
        <v>0.53754031168820104</v>
      </c>
      <c r="I129">
        <v>108.385428740536</v>
      </c>
      <c r="J129">
        <v>0.60802395619292005</v>
      </c>
      <c r="K129" t="b">
        <v>1</v>
      </c>
      <c r="L129">
        <f t="shared" si="3"/>
        <v>0</v>
      </c>
    </row>
    <row r="130" spans="1:12" x14ac:dyDescent="0.3">
      <c r="A130" t="s">
        <v>34</v>
      </c>
      <c r="B130" t="s">
        <v>31</v>
      </c>
      <c r="C130">
        <v>12</v>
      </c>
      <c r="D130">
        <v>18149.700519289701</v>
      </c>
      <c r="E130">
        <v>23834.387708609</v>
      </c>
      <c r="F130">
        <v>5.0915689635849199</v>
      </c>
      <c r="G130">
        <v>5.2553471387549999</v>
      </c>
      <c r="H130">
        <v>0.59415955232658202</v>
      </c>
      <c r="I130">
        <v>-11920.7586799863</v>
      </c>
      <c r="J130">
        <v>0.487825318047588</v>
      </c>
      <c r="K130" t="b">
        <v>1</v>
      </c>
      <c r="L130">
        <f t="shared" si="3"/>
        <v>0</v>
      </c>
    </row>
    <row r="131" spans="1:12" x14ac:dyDescent="0.3">
      <c r="A131" t="s">
        <v>13</v>
      </c>
      <c r="B131" t="s">
        <v>31</v>
      </c>
      <c r="C131">
        <v>12</v>
      </c>
      <c r="D131">
        <v>7489.4676266441402</v>
      </c>
      <c r="E131">
        <v>8314.52469541551</v>
      </c>
      <c r="F131">
        <v>9.1661739621246205</v>
      </c>
      <c r="G131">
        <v>9.6122844913210805</v>
      </c>
      <c r="H131">
        <v>4.2472160554086397E-2</v>
      </c>
      <c r="I131">
        <v>-6047.92940289338</v>
      </c>
      <c r="J131">
        <v>1.46803145321864</v>
      </c>
      <c r="K131" t="b">
        <v>1</v>
      </c>
      <c r="L131">
        <f t="shared" ref="L131:L163" si="4">IF(H131&lt;0,1,0)</f>
        <v>0</v>
      </c>
    </row>
    <row r="132" spans="1:12" x14ac:dyDescent="0.3">
      <c r="A132" t="s">
        <v>42</v>
      </c>
      <c r="B132" t="s">
        <v>31</v>
      </c>
      <c r="C132">
        <v>12</v>
      </c>
      <c r="D132">
        <v>3165.4066961160902</v>
      </c>
      <c r="E132">
        <v>3506.8055469115602</v>
      </c>
      <c r="F132">
        <v>18.924967692646401</v>
      </c>
      <c r="G132">
        <v>16.880429510676599</v>
      </c>
      <c r="H132">
        <v>-4.9931509698401898E-2</v>
      </c>
      <c r="I132">
        <v>3018.1030856759799</v>
      </c>
      <c r="J132">
        <v>1.7962848928469799</v>
      </c>
      <c r="K132" t="b">
        <v>1</v>
      </c>
      <c r="L132">
        <f t="shared" si="4"/>
        <v>1</v>
      </c>
    </row>
    <row r="133" spans="1:12" x14ac:dyDescent="0.3">
      <c r="A133" t="s">
        <v>16</v>
      </c>
      <c r="B133" t="s">
        <v>31</v>
      </c>
      <c r="C133">
        <v>12</v>
      </c>
      <c r="D133">
        <v>12559.454302460999</v>
      </c>
      <c r="E133">
        <v>14883.522554724001</v>
      </c>
      <c r="F133">
        <v>4.7370300777416201</v>
      </c>
      <c r="G133">
        <v>4.7097954733876497</v>
      </c>
      <c r="H133">
        <v>4.7917839570286204E-3</v>
      </c>
      <c r="I133">
        <v>20.448719659102299</v>
      </c>
      <c r="J133">
        <v>0.56232129653804497</v>
      </c>
      <c r="K133" t="b">
        <v>1</v>
      </c>
      <c r="L133">
        <f t="shared" si="4"/>
        <v>0</v>
      </c>
    </row>
    <row r="134" spans="1:12" x14ac:dyDescent="0.3">
      <c r="A134" t="s">
        <v>11</v>
      </c>
      <c r="B134" t="s">
        <v>31</v>
      </c>
      <c r="C134">
        <v>12</v>
      </c>
      <c r="D134">
        <v>47921.365311412803</v>
      </c>
      <c r="E134">
        <v>60116.356042428801</v>
      </c>
      <c r="F134">
        <v>4.1464440431642897</v>
      </c>
      <c r="G134">
        <v>4.22072338757867</v>
      </c>
      <c r="H134">
        <v>0.73987340288006198</v>
      </c>
      <c r="I134">
        <v>-25560.859370619801</v>
      </c>
      <c r="J134">
        <v>0.54889959472011896</v>
      </c>
      <c r="K134" t="b">
        <v>1</v>
      </c>
      <c r="L134">
        <f t="shared" si="4"/>
        <v>0</v>
      </c>
    </row>
    <row r="135" spans="1:12" x14ac:dyDescent="0.3">
      <c r="A135" t="s">
        <v>33</v>
      </c>
      <c r="B135" t="s">
        <v>31</v>
      </c>
      <c r="C135">
        <v>12</v>
      </c>
      <c r="D135">
        <v>1248.9181556017099</v>
      </c>
      <c r="E135">
        <v>1480.07360223301</v>
      </c>
      <c r="F135">
        <v>3.7931087600593698</v>
      </c>
      <c r="G135">
        <v>3.71660630435073</v>
      </c>
      <c r="H135">
        <v>0.57998270422842801</v>
      </c>
      <c r="I135">
        <v>550.786120206551</v>
      </c>
      <c r="J135">
        <v>0.51065442555282703</v>
      </c>
      <c r="K135" t="b">
        <v>1</v>
      </c>
      <c r="L135">
        <f t="shared" si="4"/>
        <v>0</v>
      </c>
    </row>
    <row r="136" spans="1:12" x14ac:dyDescent="0.3">
      <c r="A136" t="s">
        <v>27</v>
      </c>
      <c r="B136" t="s">
        <v>31</v>
      </c>
      <c r="C136">
        <v>12</v>
      </c>
      <c r="D136">
        <v>5051.1257326486302</v>
      </c>
      <c r="E136">
        <v>6057.0212528196598</v>
      </c>
      <c r="F136">
        <v>4.9610997900724696</v>
      </c>
      <c r="G136">
        <v>4.7921422153765496</v>
      </c>
      <c r="H136">
        <v>0.49859996037989801</v>
      </c>
      <c r="I136">
        <v>4620.9117921340103</v>
      </c>
      <c r="J136">
        <v>0.62053727639053002</v>
      </c>
      <c r="K136" t="b">
        <v>1</v>
      </c>
      <c r="L136">
        <f t="shared" si="4"/>
        <v>0</v>
      </c>
    </row>
    <row r="137" spans="1:12" x14ac:dyDescent="0.3">
      <c r="A137" t="s">
        <v>14</v>
      </c>
      <c r="B137" t="s">
        <v>41</v>
      </c>
      <c r="C137">
        <v>12</v>
      </c>
      <c r="D137">
        <v>141.728369253474</v>
      </c>
      <c r="E137">
        <v>168.40016229816499</v>
      </c>
      <c r="F137">
        <v>15.5033794021003</v>
      </c>
      <c r="G137">
        <v>17.2401712288287</v>
      </c>
      <c r="H137">
        <v>-2.27002830282352</v>
      </c>
      <c r="I137">
        <v>-141.728369253474</v>
      </c>
      <c r="J137">
        <v>1.8000096145305999</v>
      </c>
      <c r="K137" t="b">
        <v>1</v>
      </c>
      <c r="L137">
        <f t="shared" si="4"/>
        <v>1</v>
      </c>
    </row>
    <row r="138" spans="1:12" x14ac:dyDescent="0.3">
      <c r="A138" t="s">
        <v>35</v>
      </c>
      <c r="B138" t="s">
        <v>41</v>
      </c>
      <c r="C138">
        <v>12</v>
      </c>
      <c r="D138">
        <v>1752.14060639376</v>
      </c>
      <c r="E138">
        <v>1801.63048843972</v>
      </c>
      <c r="F138">
        <v>25.509314120496999</v>
      </c>
      <c r="G138">
        <v>29.541564110986101</v>
      </c>
      <c r="H138">
        <v>-2.8055592652999599</v>
      </c>
      <c r="I138">
        <v>-1752.14060639376</v>
      </c>
      <c r="J138">
        <v>1.83285313480203</v>
      </c>
      <c r="K138" t="b">
        <v>1</v>
      </c>
      <c r="L138">
        <f t="shared" si="4"/>
        <v>1</v>
      </c>
    </row>
    <row r="139" spans="1:12" x14ac:dyDescent="0.3">
      <c r="A139" t="s">
        <v>24</v>
      </c>
      <c r="B139" t="s">
        <v>41</v>
      </c>
      <c r="C139">
        <v>12</v>
      </c>
      <c r="D139">
        <v>293.41559468129299</v>
      </c>
      <c r="E139">
        <v>312.35056834499102</v>
      </c>
      <c r="F139">
        <v>40.621656663003698</v>
      </c>
      <c r="G139">
        <v>51.919744188309103</v>
      </c>
      <c r="H139">
        <v>-10.739184810236001</v>
      </c>
      <c r="I139">
        <v>-293.41559468129299</v>
      </c>
      <c r="J139">
        <v>3.8098309814481</v>
      </c>
      <c r="K139" t="b">
        <v>1</v>
      </c>
      <c r="L139">
        <f t="shared" si="4"/>
        <v>1</v>
      </c>
    </row>
    <row r="140" spans="1:12" x14ac:dyDescent="0.3">
      <c r="A140" t="s">
        <v>26</v>
      </c>
      <c r="B140" t="s">
        <v>41</v>
      </c>
      <c r="C140">
        <v>12</v>
      </c>
      <c r="D140">
        <v>794.52010627176298</v>
      </c>
      <c r="E140">
        <v>1197.61350794039</v>
      </c>
      <c r="F140">
        <v>9.1779470097194302</v>
      </c>
      <c r="G140">
        <v>8.2380071105239292</v>
      </c>
      <c r="H140">
        <v>-0.31933915272480001</v>
      </c>
      <c r="I140">
        <v>593.83598624494596</v>
      </c>
      <c r="J140">
        <v>0.86476059869383504</v>
      </c>
      <c r="K140" t="b">
        <v>1</v>
      </c>
      <c r="L140">
        <f t="shared" si="4"/>
        <v>1</v>
      </c>
    </row>
    <row r="141" spans="1:12" x14ac:dyDescent="0.3">
      <c r="A141" t="s">
        <v>25</v>
      </c>
      <c r="B141" t="s">
        <v>41</v>
      </c>
      <c r="C141">
        <v>12</v>
      </c>
      <c r="D141">
        <v>1662.3359739571399</v>
      </c>
      <c r="E141">
        <v>1944.54905790514</v>
      </c>
      <c r="F141">
        <v>9.08541941286237</v>
      </c>
      <c r="G141">
        <v>8.6201568987452397</v>
      </c>
      <c r="H141">
        <v>0.37445796451720897</v>
      </c>
      <c r="I141">
        <v>1302.15212258869</v>
      </c>
      <c r="J141">
        <v>0.69343410915730896</v>
      </c>
      <c r="K141" t="b">
        <v>1</v>
      </c>
      <c r="L141">
        <f t="shared" si="4"/>
        <v>0</v>
      </c>
    </row>
    <row r="142" spans="1:12" x14ac:dyDescent="0.3">
      <c r="A142" t="s">
        <v>18</v>
      </c>
      <c r="B142" t="s">
        <v>41</v>
      </c>
      <c r="C142">
        <v>12</v>
      </c>
      <c r="D142">
        <v>1384.82412007532</v>
      </c>
      <c r="E142">
        <v>1666.7598954718001</v>
      </c>
      <c r="F142">
        <v>7.4852189075698101</v>
      </c>
      <c r="G142">
        <v>7.8933439389895801</v>
      </c>
      <c r="H142">
        <v>-0.14911602054190301</v>
      </c>
      <c r="I142">
        <v>-1160.6627577915001</v>
      </c>
      <c r="J142">
        <v>0.77302273504291896</v>
      </c>
      <c r="K142" t="b">
        <v>1</v>
      </c>
      <c r="L142">
        <f t="shared" si="4"/>
        <v>1</v>
      </c>
    </row>
    <row r="143" spans="1:12" x14ac:dyDescent="0.3">
      <c r="A143" t="s">
        <v>39</v>
      </c>
      <c r="B143" t="s">
        <v>41</v>
      </c>
      <c r="C143">
        <v>12</v>
      </c>
      <c r="D143">
        <v>7253.8639316318704</v>
      </c>
      <c r="E143">
        <v>7369.2998339429896</v>
      </c>
      <c r="F143">
        <v>21.647287712649</v>
      </c>
      <c r="G143">
        <v>19.4488623724794</v>
      </c>
      <c r="H143">
        <v>-12.1165957486386</v>
      </c>
      <c r="I143">
        <v>7253.8639316318704</v>
      </c>
      <c r="J143">
        <v>4.4311368917389098</v>
      </c>
      <c r="K143" t="b">
        <v>1</v>
      </c>
      <c r="L143">
        <f t="shared" si="4"/>
        <v>1</v>
      </c>
    </row>
    <row r="144" spans="1:12" x14ac:dyDescent="0.3">
      <c r="A144" t="s">
        <v>38</v>
      </c>
      <c r="B144" t="s">
        <v>41</v>
      </c>
      <c r="C144">
        <v>12</v>
      </c>
      <c r="D144">
        <v>754.954287113183</v>
      </c>
      <c r="E144">
        <v>987.951139150107</v>
      </c>
      <c r="F144">
        <v>21.7579953101265</v>
      </c>
      <c r="G144">
        <v>25.993926226417699</v>
      </c>
      <c r="H144">
        <v>-1.3781372449843201</v>
      </c>
      <c r="I144">
        <v>-718.66174196096597</v>
      </c>
      <c r="J144">
        <v>1.9685879440710801</v>
      </c>
      <c r="K144" t="b">
        <v>1</v>
      </c>
      <c r="L144">
        <f t="shared" si="4"/>
        <v>1</v>
      </c>
    </row>
    <row r="145" spans="1:12" x14ac:dyDescent="0.3">
      <c r="A145" t="s">
        <v>22</v>
      </c>
      <c r="B145" t="s">
        <v>41</v>
      </c>
      <c r="C145">
        <v>12</v>
      </c>
      <c r="D145">
        <v>878.99061968267802</v>
      </c>
      <c r="E145">
        <v>1188.10538341346</v>
      </c>
      <c r="F145">
        <v>15.766576790052399</v>
      </c>
      <c r="G145">
        <v>13.6727162374721</v>
      </c>
      <c r="H145">
        <v>-1.7445361457975901</v>
      </c>
      <c r="I145">
        <v>806.12235488694398</v>
      </c>
      <c r="J145">
        <v>1.6838469897569699</v>
      </c>
      <c r="K145" t="b">
        <v>1</v>
      </c>
      <c r="L145">
        <f t="shared" si="4"/>
        <v>1</v>
      </c>
    </row>
    <row r="146" spans="1:12" x14ac:dyDescent="0.3">
      <c r="A146" t="s">
        <v>28</v>
      </c>
      <c r="B146" t="s">
        <v>41</v>
      </c>
      <c r="C146">
        <v>12</v>
      </c>
      <c r="D146">
        <v>596.85244227070996</v>
      </c>
      <c r="E146">
        <v>694.23521296853301</v>
      </c>
      <c r="F146">
        <v>17.1041494886903</v>
      </c>
      <c r="G146">
        <v>15.4908781698447</v>
      </c>
      <c r="H146">
        <v>-1.8501107434599899</v>
      </c>
      <c r="I146">
        <v>376.53364894894497</v>
      </c>
      <c r="J146">
        <v>2.2461723390044699</v>
      </c>
      <c r="K146" t="b">
        <v>1</v>
      </c>
      <c r="L146">
        <f t="shared" si="4"/>
        <v>1</v>
      </c>
    </row>
    <row r="147" spans="1:12" x14ac:dyDescent="0.3">
      <c r="A147" t="s">
        <v>21</v>
      </c>
      <c r="B147" t="s">
        <v>41</v>
      </c>
      <c r="C147">
        <v>12</v>
      </c>
      <c r="D147">
        <v>1163.66961368178</v>
      </c>
      <c r="E147">
        <v>1455.85101007351</v>
      </c>
      <c r="F147">
        <v>14.655936806355699</v>
      </c>
      <c r="G147">
        <v>14.6698939680859</v>
      </c>
      <c r="H147">
        <v>0.62417322359337701</v>
      </c>
      <c r="I147">
        <v>-418.01938972439399</v>
      </c>
      <c r="J147">
        <v>0.85352782597907595</v>
      </c>
      <c r="K147" t="b">
        <v>1</v>
      </c>
      <c r="L147">
        <f t="shared" si="4"/>
        <v>0</v>
      </c>
    </row>
    <row r="148" spans="1:12" x14ac:dyDescent="0.3">
      <c r="A148" t="s">
        <v>20</v>
      </c>
      <c r="B148" t="s">
        <v>41</v>
      </c>
      <c r="C148">
        <v>12</v>
      </c>
      <c r="D148">
        <v>269.67053047153797</v>
      </c>
      <c r="E148">
        <v>313.113579575644</v>
      </c>
      <c r="F148">
        <v>17.582586922066401</v>
      </c>
      <c r="G148">
        <v>16.371791968490299</v>
      </c>
      <c r="H148">
        <v>0.43710910883216297</v>
      </c>
      <c r="I148">
        <v>-30.578028036314102</v>
      </c>
      <c r="J148">
        <v>1.00917375500583</v>
      </c>
      <c r="K148" t="b">
        <v>1</v>
      </c>
      <c r="L148">
        <f t="shared" si="4"/>
        <v>0</v>
      </c>
    </row>
    <row r="149" spans="1:12" x14ac:dyDescent="0.3">
      <c r="A149" t="s">
        <v>30</v>
      </c>
      <c r="B149" t="s">
        <v>41</v>
      </c>
      <c r="C149">
        <v>12</v>
      </c>
      <c r="D149">
        <v>1595.4726301784101</v>
      </c>
      <c r="E149">
        <v>1976.17450054082</v>
      </c>
      <c r="F149">
        <v>5.6793433464280696</v>
      </c>
      <c r="G149">
        <v>5.7165702845167496</v>
      </c>
      <c r="H149">
        <v>-5.31065608754351</v>
      </c>
      <c r="I149">
        <v>73.805461507338507</v>
      </c>
      <c r="J149">
        <v>2.2910343925569201</v>
      </c>
      <c r="K149" t="b">
        <v>1</v>
      </c>
      <c r="L149">
        <f t="shared" si="4"/>
        <v>1</v>
      </c>
    </row>
    <row r="150" spans="1:12" x14ac:dyDescent="0.3">
      <c r="A150" t="s">
        <v>23</v>
      </c>
      <c r="B150" t="s">
        <v>41</v>
      </c>
      <c r="C150">
        <v>12</v>
      </c>
      <c r="D150">
        <v>871.55471794539403</v>
      </c>
      <c r="E150">
        <v>1081.6970186537201</v>
      </c>
      <c r="F150">
        <v>8.3485132808210292</v>
      </c>
      <c r="G150">
        <v>7.91274530516701</v>
      </c>
      <c r="H150">
        <v>-2.1057085151163299</v>
      </c>
      <c r="I150">
        <v>621.97476102684902</v>
      </c>
      <c r="J150">
        <v>1.1876283039569899</v>
      </c>
      <c r="K150" t="b">
        <v>1</v>
      </c>
      <c r="L150">
        <f t="shared" si="4"/>
        <v>1</v>
      </c>
    </row>
    <row r="151" spans="1:12" x14ac:dyDescent="0.3">
      <c r="A151" t="s">
        <v>19</v>
      </c>
      <c r="B151" t="s">
        <v>41</v>
      </c>
      <c r="C151">
        <v>12</v>
      </c>
      <c r="D151">
        <v>377.57838039545402</v>
      </c>
      <c r="E151">
        <v>434.19722622332898</v>
      </c>
      <c r="F151">
        <v>8.3690517956610506</v>
      </c>
      <c r="G151">
        <v>8.6332699928450705</v>
      </c>
      <c r="H151">
        <v>-0.43539670043957601</v>
      </c>
      <c r="I151">
        <v>-112.15524430989301</v>
      </c>
      <c r="J151">
        <v>0.93371831033867403</v>
      </c>
      <c r="K151" t="b">
        <v>1</v>
      </c>
      <c r="L151">
        <f t="shared" si="4"/>
        <v>1</v>
      </c>
    </row>
    <row r="152" spans="1:12" x14ac:dyDescent="0.3">
      <c r="A152" t="s">
        <v>15</v>
      </c>
      <c r="B152" t="s">
        <v>41</v>
      </c>
      <c r="C152">
        <v>12</v>
      </c>
      <c r="D152">
        <v>1205.0619663585201</v>
      </c>
      <c r="E152">
        <v>1330.4131848039201</v>
      </c>
      <c r="F152">
        <v>9.1086588904735297</v>
      </c>
      <c r="G152">
        <v>9.1356145747572803</v>
      </c>
      <c r="H152">
        <v>-0.50076919442206203</v>
      </c>
      <c r="I152">
        <v>-201.68781277385099</v>
      </c>
      <c r="J152">
        <v>1.6347637107275199</v>
      </c>
      <c r="K152" t="b">
        <v>1</v>
      </c>
      <c r="L152">
        <f t="shared" si="4"/>
        <v>1</v>
      </c>
    </row>
    <row r="153" spans="1:12" x14ac:dyDescent="0.3">
      <c r="A153" t="s">
        <v>29</v>
      </c>
      <c r="B153" t="s">
        <v>41</v>
      </c>
      <c r="C153">
        <v>12</v>
      </c>
      <c r="D153">
        <v>17382.563258312199</v>
      </c>
      <c r="E153">
        <v>22304.096400545499</v>
      </c>
      <c r="F153">
        <v>37.931594135561603</v>
      </c>
      <c r="G153">
        <v>50.578331352641499</v>
      </c>
      <c r="H153">
        <v>-1.62359785106609</v>
      </c>
      <c r="I153">
        <v>-17382.563258312199</v>
      </c>
      <c r="J153">
        <v>3.4618039600827601</v>
      </c>
      <c r="K153" t="b">
        <v>1</v>
      </c>
      <c r="L153">
        <f t="shared" si="4"/>
        <v>1</v>
      </c>
    </row>
    <row r="154" spans="1:12" x14ac:dyDescent="0.3">
      <c r="A154" t="s">
        <v>40</v>
      </c>
      <c r="B154" t="s">
        <v>41</v>
      </c>
      <c r="C154">
        <v>12</v>
      </c>
      <c r="D154">
        <v>309.27117839693102</v>
      </c>
      <c r="E154">
        <v>359.02922063448102</v>
      </c>
      <c r="F154">
        <v>16.647955508339201</v>
      </c>
      <c r="G154">
        <v>18.714377042752702</v>
      </c>
      <c r="H154">
        <v>-0.72313127301437097</v>
      </c>
      <c r="I154">
        <v>-290.686960715655</v>
      </c>
      <c r="J154">
        <v>1.29132680638176</v>
      </c>
      <c r="K154" t="b">
        <v>1</v>
      </c>
      <c r="L154">
        <f t="shared" si="4"/>
        <v>1</v>
      </c>
    </row>
    <row r="155" spans="1:12" x14ac:dyDescent="0.3">
      <c r="A155" t="s">
        <v>32</v>
      </c>
      <c r="B155" t="s">
        <v>41</v>
      </c>
      <c r="C155">
        <v>12</v>
      </c>
      <c r="D155">
        <v>6588.1822849719301</v>
      </c>
      <c r="E155">
        <v>7258.3293683868797</v>
      </c>
      <c r="F155">
        <v>9.2489127403148199</v>
      </c>
      <c r="G155">
        <v>8.9441476103708393</v>
      </c>
      <c r="H155">
        <v>-0.17639536019797999</v>
      </c>
      <c r="I155">
        <v>2031.5934988470401</v>
      </c>
      <c r="J155">
        <v>1.13481031139987</v>
      </c>
      <c r="K155" t="b">
        <v>1</v>
      </c>
      <c r="L155">
        <f t="shared" si="4"/>
        <v>1</v>
      </c>
    </row>
    <row r="156" spans="1:12" x14ac:dyDescent="0.3">
      <c r="A156" t="s">
        <v>37</v>
      </c>
      <c r="B156" t="s">
        <v>41</v>
      </c>
      <c r="C156">
        <v>12</v>
      </c>
      <c r="D156">
        <v>2520.6564650325599</v>
      </c>
      <c r="E156">
        <v>3182.7501551709802</v>
      </c>
      <c r="F156">
        <v>25.677502484617001</v>
      </c>
      <c r="G156">
        <v>29.630022875601899</v>
      </c>
      <c r="H156">
        <v>-0.38903364833748599</v>
      </c>
      <c r="I156">
        <v>-1773.40754874135</v>
      </c>
      <c r="J156">
        <v>1.3516906345383599</v>
      </c>
      <c r="K156" t="b">
        <v>1</v>
      </c>
      <c r="L156">
        <f t="shared" si="4"/>
        <v>1</v>
      </c>
    </row>
    <row r="157" spans="1:12" x14ac:dyDescent="0.3">
      <c r="A157" t="s">
        <v>34</v>
      </c>
      <c r="B157" t="s">
        <v>41</v>
      </c>
      <c r="C157">
        <v>12</v>
      </c>
      <c r="D157">
        <v>7506.4206572560397</v>
      </c>
      <c r="E157">
        <v>8114.7710041237997</v>
      </c>
      <c r="F157">
        <v>62.931521153711401</v>
      </c>
      <c r="G157">
        <v>95.763911496718293</v>
      </c>
      <c r="H157">
        <v>-9.7742389231482996</v>
      </c>
      <c r="I157">
        <v>-7506.4206572560397</v>
      </c>
      <c r="J157">
        <v>7.1053079763676097</v>
      </c>
      <c r="K157" t="b">
        <v>1</v>
      </c>
      <c r="L157">
        <f t="shared" si="4"/>
        <v>1</v>
      </c>
    </row>
    <row r="158" spans="1:12" x14ac:dyDescent="0.3">
      <c r="A158" t="s">
        <v>13</v>
      </c>
      <c r="B158" t="s">
        <v>41</v>
      </c>
      <c r="C158">
        <v>12</v>
      </c>
      <c r="D158">
        <v>480.149923006552</v>
      </c>
      <c r="E158">
        <v>491.069770237618</v>
      </c>
      <c r="F158">
        <v>31.4686048059949</v>
      </c>
      <c r="G158">
        <v>37.524856616195102</v>
      </c>
      <c r="H158">
        <v>-18.152708720044</v>
      </c>
      <c r="I158">
        <v>-480.149923006552</v>
      </c>
      <c r="J158">
        <v>5.3773983235235301</v>
      </c>
      <c r="K158" t="b">
        <v>1</v>
      </c>
      <c r="L158">
        <f t="shared" si="4"/>
        <v>1</v>
      </c>
    </row>
    <row r="159" spans="1:12" x14ac:dyDescent="0.3">
      <c r="A159" t="s">
        <v>42</v>
      </c>
      <c r="B159" t="s">
        <v>41</v>
      </c>
      <c r="C159">
        <v>12</v>
      </c>
      <c r="D159">
        <v>248.300262711865</v>
      </c>
      <c r="E159">
        <v>290.19457537903702</v>
      </c>
      <c r="F159">
        <v>23.314377019592101</v>
      </c>
      <c r="G159">
        <v>27.2634900917677</v>
      </c>
      <c r="H159">
        <v>-2.7328622643286802</v>
      </c>
      <c r="I159">
        <v>-248.300262711865</v>
      </c>
      <c r="J159">
        <v>1.9952346416906499</v>
      </c>
      <c r="K159" t="b">
        <v>1</v>
      </c>
      <c r="L159">
        <f t="shared" si="4"/>
        <v>1</v>
      </c>
    </row>
    <row r="160" spans="1:12" x14ac:dyDescent="0.3">
      <c r="A160" t="s">
        <v>16</v>
      </c>
      <c r="B160" t="s">
        <v>41</v>
      </c>
      <c r="C160">
        <v>12</v>
      </c>
      <c r="D160">
        <v>1404.6042967809999</v>
      </c>
      <c r="E160">
        <v>1555.56455122224</v>
      </c>
      <c r="F160">
        <v>14.1427108217267</v>
      </c>
      <c r="G160">
        <v>13.8987243597877</v>
      </c>
      <c r="H160">
        <v>0.20756848749434101</v>
      </c>
      <c r="I160">
        <v>-8.4733619590204707</v>
      </c>
      <c r="J160">
        <v>1.1237737713228599</v>
      </c>
      <c r="K160" t="b">
        <v>1</v>
      </c>
      <c r="L160">
        <f t="shared" si="4"/>
        <v>0</v>
      </c>
    </row>
    <row r="161" spans="1:12" x14ac:dyDescent="0.3">
      <c r="A161" t="s">
        <v>11</v>
      </c>
      <c r="B161" t="s">
        <v>41</v>
      </c>
      <c r="C161">
        <v>12</v>
      </c>
      <c r="D161">
        <v>10076.528832136901</v>
      </c>
      <c r="E161">
        <v>11716.8473073974</v>
      </c>
      <c r="F161">
        <v>3.5318963840359099</v>
      </c>
      <c r="G161">
        <v>3.55688242884619</v>
      </c>
      <c r="H161">
        <v>0.23080588554577899</v>
      </c>
      <c r="I161">
        <v>-5114.9078665694396</v>
      </c>
      <c r="J161">
        <v>0.53908908731749206</v>
      </c>
      <c r="K161" t="b">
        <v>1</v>
      </c>
      <c r="L161">
        <f t="shared" si="4"/>
        <v>0</v>
      </c>
    </row>
    <row r="162" spans="1:12" x14ac:dyDescent="0.3">
      <c r="A162" t="s">
        <v>33</v>
      </c>
      <c r="B162" t="s">
        <v>41</v>
      </c>
      <c r="C162">
        <v>12</v>
      </c>
      <c r="D162">
        <v>362.110084595844</v>
      </c>
      <c r="E162">
        <v>453.98381243212401</v>
      </c>
      <c r="F162">
        <v>19.659314381544</v>
      </c>
      <c r="G162">
        <v>22.7331684643</v>
      </c>
      <c r="H162">
        <v>-0.95603862228390701</v>
      </c>
      <c r="I162">
        <v>-360.52167606275299</v>
      </c>
      <c r="J162">
        <v>1.45781516917398</v>
      </c>
      <c r="K162" t="b">
        <v>1</v>
      </c>
      <c r="L162">
        <f t="shared" si="4"/>
        <v>1</v>
      </c>
    </row>
    <row r="163" spans="1:12" x14ac:dyDescent="0.3">
      <c r="A163" t="s">
        <v>27</v>
      </c>
      <c r="B163" t="s">
        <v>41</v>
      </c>
      <c r="C163">
        <v>12</v>
      </c>
      <c r="D163">
        <v>1210.7108958598201</v>
      </c>
      <c r="E163">
        <v>1814.2301560973799</v>
      </c>
      <c r="F163">
        <v>41.515427267791203</v>
      </c>
      <c r="G163">
        <v>63.452506066743297</v>
      </c>
      <c r="H163">
        <v>-0.95933818822922901</v>
      </c>
      <c r="I163">
        <v>-1210.7108958598201</v>
      </c>
      <c r="J163">
        <v>2.4706207407843501</v>
      </c>
      <c r="K163" t="b">
        <v>1</v>
      </c>
      <c r="L163">
        <f t="shared" si="4"/>
        <v>1</v>
      </c>
    </row>
    <row r="167" spans="1:12" x14ac:dyDescent="0.3">
      <c r="D167" s="1"/>
      <c r="E167" s="1"/>
      <c r="F167" s="1"/>
      <c r="G167" s="1"/>
      <c r="H167" s="1"/>
      <c r="I167" s="1"/>
      <c r="J167" s="1"/>
    </row>
  </sheetData>
  <autoFilter ref="A1:K163" xr:uid="{00000000-0001-0000-0000-000000000000}"/>
  <sortState xmlns:xlrd2="http://schemas.microsoft.com/office/spreadsheetml/2017/richdata2" ref="A2:K168">
    <sortCondition ref="B2:B168"/>
    <sortCondition ref="A2:A168"/>
  </sortState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D1F5-4B0B-465E-8EE8-F53AD69E9497}">
  <dimension ref="A1:K32"/>
  <sheetViews>
    <sheetView topLeftCell="A12" workbookViewId="0">
      <selection activeCell="L17" sqref="L17"/>
    </sheetView>
  </sheetViews>
  <sheetFormatPr defaultColWidth="11.5546875" defaultRowHeight="14.4" x14ac:dyDescent="0.3"/>
  <cols>
    <col min="1" max="1" width="21.33203125" bestFit="1" customWidth="1"/>
    <col min="2" max="2" width="18.77734375" bestFit="1" customWidth="1"/>
    <col min="3" max="3" width="9.33203125" bestFit="1" customWidth="1"/>
    <col min="4" max="5" width="13.33203125" bestFit="1" customWidth="1"/>
    <col min="6" max="7" width="12" bestFit="1" customWidth="1"/>
    <col min="8" max="9" width="12.6640625" bestFit="1" customWidth="1"/>
    <col min="10" max="10" width="12" bestFit="1" customWidth="1"/>
    <col min="11" max="11" width="14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32</v>
      </c>
      <c r="B2" t="s">
        <v>36</v>
      </c>
      <c r="C2">
        <v>12</v>
      </c>
      <c r="D2">
        <v>2946.9782164616099</v>
      </c>
      <c r="E2">
        <v>3540.30329563738</v>
      </c>
      <c r="F2">
        <v>3.04512016250741</v>
      </c>
      <c r="G2">
        <v>3.0830274351976201</v>
      </c>
      <c r="H2">
        <v>-0.171986976549416</v>
      </c>
      <c r="I2">
        <v>-1021.14993492548</v>
      </c>
      <c r="J2">
        <v>0.75093778386078003</v>
      </c>
      <c r="K2" t="b">
        <v>1</v>
      </c>
    </row>
    <row r="3" spans="1:11" x14ac:dyDescent="0.3">
      <c r="A3" t="s">
        <v>11</v>
      </c>
      <c r="B3" t="s">
        <v>36</v>
      </c>
      <c r="C3">
        <v>12</v>
      </c>
      <c r="D3">
        <v>28684.716783622502</v>
      </c>
      <c r="E3">
        <v>31198.232388984499</v>
      </c>
      <c r="F3">
        <v>3.3075883176040599</v>
      </c>
      <c r="G3">
        <v>3.2920187794338598</v>
      </c>
      <c r="H3">
        <v>0.119320138118216</v>
      </c>
      <c r="I3">
        <v>4535.37323009173</v>
      </c>
      <c r="J3">
        <v>0.768612617219667</v>
      </c>
      <c r="K3" t="b">
        <v>1</v>
      </c>
    </row>
    <row r="4" spans="1:11" x14ac:dyDescent="0.3">
      <c r="A4" t="s">
        <v>21</v>
      </c>
      <c r="B4" t="s">
        <v>36</v>
      </c>
      <c r="C4">
        <v>12</v>
      </c>
      <c r="D4">
        <v>3894.5294120711401</v>
      </c>
      <c r="E4">
        <v>4777.60670629793</v>
      </c>
      <c r="F4">
        <v>4.0819631564851697</v>
      </c>
      <c r="G4">
        <v>4.1301758424188497</v>
      </c>
      <c r="H4">
        <v>0.30982870000524798</v>
      </c>
      <c r="I4">
        <v>-883.44145159647701</v>
      </c>
      <c r="J4">
        <v>0.64276998477298497</v>
      </c>
      <c r="K4" t="b">
        <v>1</v>
      </c>
    </row>
    <row r="5" spans="1:11" x14ac:dyDescent="0.3">
      <c r="A5" t="s">
        <v>22</v>
      </c>
      <c r="B5" t="s">
        <v>36</v>
      </c>
      <c r="C5">
        <v>12</v>
      </c>
      <c r="D5">
        <v>7709.0759144431804</v>
      </c>
      <c r="E5">
        <v>8796.8230624526495</v>
      </c>
      <c r="F5">
        <v>5.6536199884600302</v>
      </c>
      <c r="G5">
        <v>5.5053852457316701</v>
      </c>
      <c r="H5">
        <v>-3.5959829611258903E-2</v>
      </c>
      <c r="I5">
        <v>3578.7837996380199</v>
      </c>
      <c r="J5">
        <v>1.02595667122122</v>
      </c>
      <c r="K5" t="b">
        <v>1</v>
      </c>
    </row>
    <row r="6" spans="1:11" x14ac:dyDescent="0.3">
      <c r="A6" t="s">
        <v>15</v>
      </c>
      <c r="B6" t="s">
        <v>36</v>
      </c>
      <c r="C6">
        <v>12</v>
      </c>
      <c r="D6">
        <v>6676.1618758374598</v>
      </c>
      <c r="E6">
        <v>7663.3179824706303</v>
      </c>
      <c r="F6">
        <v>5.91988221434669</v>
      </c>
      <c r="G6">
        <v>6.0927346276527201</v>
      </c>
      <c r="H6">
        <v>0.20831747696675601</v>
      </c>
      <c r="I6">
        <v>-4738.7689473933397</v>
      </c>
      <c r="J6">
        <v>0.979163755350139</v>
      </c>
      <c r="K6" t="b">
        <v>1</v>
      </c>
    </row>
    <row r="7" spans="1:11" x14ac:dyDescent="0.3">
      <c r="A7" t="s">
        <v>30</v>
      </c>
      <c r="B7" t="s">
        <v>36</v>
      </c>
      <c r="C7">
        <v>12</v>
      </c>
      <c r="D7">
        <v>11340.460755202001</v>
      </c>
      <c r="E7">
        <v>13002.1908189511</v>
      </c>
      <c r="F7">
        <v>6.0327433040120004</v>
      </c>
      <c r="G7">
        <v>5.8405285008236199</v>
      </c>
      <c r="H7">
        <v>0.12743243934700399</v>
      </c>
      <c r="I7">
        <v>7806.0661637418198</v>
      </c>
      <c r="J7">
        <v>0.94561899792337001</v>
      </c>
      <c r="K7" t="b">
        <v>1</v>
      </c>
    </row>
    <row r="8" spans="1:11" x14ac:dyDescent="0.3">
      <c r="A8" t="s">
        <v>23</v>
      </c>
      <c r="B8" t="s">
        <v>36</v>
      </c>
      <c r="C8">
        <v>12</v>
      </c>
      <c r="D8">
        <v>687.82907467018299</v>
      </c>
      <c r="E8">
        <v>847.65665633829701</v>
      </c>
      <c r="F8">
        <v>6.0604226704626702</v>
      </c>
      <c r="G8">
        <v>6.3249075376138801</v>
      </c>
      <c r="H8">
        <v>-1.0704749605803601</v>
      </c>
      <c r="I8">
        <v>-573.60584022645696</v>
      </c>
      <c r="J8">
        <v>1.1246003018107</v>
      </c>
      <c r="K8" t="b">
        <v>1</v>
      </c>
    </row>
    <row r="9" spans="1:11" x14ac:dyDescent="0.3">
      <c r="A9" t="s">
        <v>35</v>
      </c>
      <c r="B9" t="s">
        <v>36</v>
      </c>
      <c r="C9">
        <v>12</v>
      </c>
      <c r="D9">
        <v>499.95458550119997</v>
      </c>
      <c r="E9">
        <v>679.04352143645303</v>
      </c>
      <c r="F9">
        <v>7.8537548520086196</v>
      </c>
      <c r="G9">
        <v>8.0315682982132692</v>
      </c>
      <c r="H9">
        <v>0.29582564463165101</v>
      </c>
      <c r="I9">
        <v>-126.57115335991701</v>
      </c>
      <c r="J9">
        <v>0.85733398010158801</v>
      </c>
      <c r="K9" t="b">
        <v>1</v>
      </c>
    </row>
    <row r="10" spans="1:11" x14ac:dyDescent="0.3">
      <c r="A10" t="s">
        <v>39</v>
      </c>
      <c r="B10" t="s">
        <v>36</v>
      </c>
      <c r="C10">
        <v>12</v>
      </c>
      <c r="D10">
        <v>2517.0452092248102</v>
      </c>
      <c r="E10">
        <v>3416.72731210654</v>
      </c>
      <c r="F10">
        <v>8.26490146360754</v>
      </c>
      <c r="G10">
        <v>8.7482995180433907</v>
      </c>
      <c r="H10">
        <v>0.35029369076546102</v>
      </c>
      <c r="I10">
        <v>-1802.0862690060001</v>
      </c>
      <c r="J10">
        <v>1.7930526498310699</v>
      </c>
      <c r="K10" t="b">
        <v>1</v>
      </c>
    </row>
    <row r="11" spans="1:11" x14ac:dyDescent="0.3">
      <c r="A11" t="s">
        <v>20</v>
      </c>
      <c r="B11" t="s">
        <v>36</v>
      </c>
      <c r="C11">
        <v>12</v>
      </c>
      <c r="D11">
        <v>2650.1668511040202</v>
      </c>
      <c r="E11">
        <v>3039.8050283417501</v>
      </c>
      <c r="F11">
        <v>9.0049439438216492</v>
      </c>
      <c r="G11">
        <v>8.6163592865100398</v>
      </c>
      <c r="H11">
        <v>-0.50410768044408405</v>
      </c>
      <c r="I11">
        <v>1356.32346196807</v>
      </c>
      <c r="J11">
        <v>1.25238592322622</v>
      </c>
      <c r="K11" t="b">
        <v>1</v>
      </c>
    </row>
    <row r="12" spans="1:11" x14ac:dyDescent="0.3">
      <c r="A12" t="s">
        <v>14</v>
      </c>
      <c r="B12" t="s">
        <v>36</v>
      </c>
      <c r="C12">
        <v>12</v>
      </c>
      <c r="D12">
        <v>228.06410834443</v>
      </c>
      <c r="E12">
        <v>254.321320300601</v>
      </c>
      <c r="F12">
        <v>11.0033404753177</v>
      </c>
      <c r="G12">
        <v>11.785718448968799</v>
      </c>
      <c r="H12">
        <v>-3.87534365003925</v>
      </c>
      <c r="I12">
        <v>-228.06410834443</v>
      </c>
      <c r="J12">
        <v>1.73272965801001</v>
      </c>
      <c r="K12" t="b">
        <v>1</v>
      </c>
    </row>
    <row r="13" spans="1:11" x14ac:dyDescent="0.3">
      <c r="A13" t="s">
        <v>29</v>
      </c>
      <c r="B13" t="s">
        <v>36</v>
      </c>
      <c r="C13">
        <v>12</v>
      </c>
      <c r="D13">
        <v>3112.9730246650201</v>
      </c>
      <c r="E13">
        <v>3335.8200760039899</v>
      </c>
      <c r="F13">
        <v>11.6697392060402</v>
      </c>
      <c r="G13">
        <v>12.487141135448301</v>
      </c>
      <c r="H13">
        <v>-3.53736280224508</v>
      </c>
      <c r="I13">
        <v>-3112.9730246650201</v>
      </c>
      <c r="J13">
        <v>1.48493297331814</v>
      </c>
      <c r="K13" t="b">
        <v>1</v>
      </c>
    </row>
    <row r="14" spans="1:11" x14ac:dyDescent="0.3">
      <c r="A14" t="s">
        <v>34</v>
      </c>
      <c r="B14" t="s">
        <v>36</v>
      </c>
      <c r="C14">
        <v>12</v>
      </c>
      <c r="D14">
        <v>1451.24143847551</v>
      </c>
      <c r="E14">
        <v>1792.7775596253</v>
      </c>
      <c r="F14">
        <v>12.2487866858971</v>
      </c>
      <c r="G14">
        <v>13.4301015853904</v>
      </c>
      <c r="H14">
        <v>-1.35962874814942</v>
      </c>
      <c r="I14">
        <v>-1367.19932909522</v>
      </c>
      <c r="J14">
        <v>2.0705369092936001</v>
      </c>
      <c r="K14" t="b">
        <v>1</v>
      </c>
    </row>
    <row r="15" spans="1:11" x14ac:dyDescent="0.3">
      <c r="A15" t="s">
        <v>25</v>
      </c>
      <c r="B15" t="s">
        <v>36</v>
      </c>
      <c r="C15">
        <v>12</v>
      </c>
      <c r="D15">
        <v>7840.08474192834</v>
      </c>
      <c r="E15">
        <v>8938.2159061089096</v>
      </c>
      <c r="F15">
        <v>13.4796992542739</v>
      </c>
      <c r="G15">
        <v>14.6500504985489</v>
      </c>
      <c r="H15">
        <v>-1.5474190653278701</v>
      </c>
      <c r="I15">
        <v>-7840.08474192834</v>
      </c>
      <c r="J15">
        <v>1.68525405533071</v>
      </c>
      <c r="K15" t="b">
        <v>1</v>
      </c>
    </row>
    <row r="16" spans="1:11" x14ac:dyDescent="0.3">
      <c r="A16" t="s">
        <v>38</v>
      </c>
      <c r="B16" t="s">
        <v>36</v>
      </c>
      <c r="C16">
        <v>12</v>
      </c>
      <c r="D16">
        <v>1881.1116200865199</v>
      </c>
      <c r="E16">
        <v>2144.1996106461502</v>
      </c>
      <c r="F16">
        <v>13.5547726693682</v>
      </c>
      <c r="G16">
        <v>14.804876348565401</v>
      </c>
      <c r="H16">
        <v>-3.3549922263626599</v>
      </c>
      <c r="I16">
        <v>-1881.1116200865199</v>
      </c>
      <c r="J16">
        <v>1.9000974714666501</v>
      </c>
      <c r="K16" t="b">
        <v>1</v>
      </c>
    </row>
    <row r="17" spans="1:11" x14ac:dyDescent="0.3">
      <c r="A17" t="s">
        <v>13</v>
      </c>
      <c r="B17" t="s">
        <v>36</v>
      </c>
      <c r="C17">
        <v>12</v>
      </c>
      <c r="D17">
        <v>524.20464595863996</v>
      </c>
      <c r="E17">
        <v>628.94120028395605</v>
      </c>
      <c r="F17">
        <v>15.0788997794668</v>
      </c>
      <c r="G17">
        <v>16.812598268448799</v>
      </c>
      <c r="H17">
        <v>-3.34536454541642</v>
      </c>
      <c r="I17">
        <v>-524.20464595863996</v>
      </c>
      <c r="J17">
        <v>1.7729394097492099</v>
      </c>
      <c r="K17" t="b">
        <v>1</v>
      </c>
    </row>
    <row r="18" spans="1:11" x14ac:dyDescent="0.3">
      <c r="A18" t="s">
        <v>37</v>
      </c>
      <c r="B18" t="s">
        <v>36</v>
      </c>
      <c r="C18">
        <v>12</v>
      </c>
      <c r="D18">
        <v>738.18024112035698</v>
      </c>
      <c r="E18">
        <v>789.76087328937297</v>
      </c>
      <c r="F18">
        <v>15.5569559714178</v>
      </c>
      <c r="G18">
        <v>15.926409922051</v>
      </c>
      <c r="H18">
        <v>-0.24095512492600099</v>
      </c>
      <c r="I18">
        <v>-252.45806710948901</v>
      </c>
      <c r="J18">
        <v>0.88788708112737003</v>
      </c>
      <c r="K18" t="b">
        <v>1</v>
      </c>
    </row>
    <row r="19" spans="1:11" x14ac:dyDescent="0.3">
      <c r="A19" t="s">
        <v>27</v>
      </c>
      <c r="B19" t="s">
        <v>36</v>
      </c>
      <c r="C19">
        <v>12</v>
      </c>
      <c r="D19">
        <v>834.84599115520496</v>
      </c>
      <c r="E19">
        <v>915.25050486089299</v>
      </c>
      <c r="F19">
        <v>15.6783300633422</v>
      </c>
      <c r="G19">
        <v>17.237990401158701</v>
      </c>
      <c r="H19">
        <v>-2.1626290889029698</v>
      </c>
      <c r="I19">
        <v>-834.84599115520496</v>
      </c>
      <c r="J19">
        <v>1.37673856643003</v>
      </c>
      <c r="K19" t="b">
        <v>1</v>
      </c>
    </row>
    <row r="20" spans="1:11" x14ac:dyDescent="0.3">
      <c r="A20" t="s">
        <v>26</v>
      </c>
      <c r="B20" t="s">
        <v>36</v>
      </c>
      <c r="C20">
        <v>12</v>
      </c>
      <c r="D20">
        <v>2681.2085622609502</v>
      </c>
      <c r="E20">
        <v>3157.6118373763402</v>
      </c>
      <c r="F20">
        <v>15.868277239286501</v>
      </c>
      <c r="G20">
        <v>14.2836436935925</v>
      </c>
      <c r="H20">
        <v>-2.35757770441717</v>
      </c>
      <c r="I20">
        <v>2273.8164380644798</v>
      </c>
      <c r="J20">
        <v>2.8282036892709099</v>
      </c>
      <c r="K20" t="b">
        <v>1</v>
      </c>
    </row>
    <row r="21" spans="1:11" x14ac:dyDescent="0.3">
      <c r="A21" t="s">
        <v>16</v>
      </c>
      <c r="B21" t="s">
        <v>36</v>
      </c>
      <c r="C21">
        <v>12</v>
      </c>
      <c r="D21">
        <v>4548.2585329809199</v>
      </c>
      <c r="E21">
        <v>5487.1458445140197</v>
      </c>
      <c r="F21">
        <v>15.940219357895501</v>
      </c>
      <c r="G21">
        <v>17.952334324703301</v>
      </c>
      <c r="H21">
        <v>-2.0247865895203199</v>
      </c>
      <c r="I21">
        <v>-4488.2529445583004</v>
      </c>
      <c r="J21">
        <v>2.7696924401650098</v>
      </c>
      <c r="K21" t="b">
        <v>1</v>
      </c>
    </row>
    <row r="22" spans="1:11" x14ac:dyDescent="0.3">
      <c r="A22" t="s">
        <v>19</v>
      </c>
      <c r="B22" t="s">
        <v>36</v>
      </c>
      <c r="C22">
        <v>12</v>
      </c>
      <c r="D22">
        <v>2798.3767273325002</v>
      </c>
      <c r="E22">
        <v>3218.0773092039999</v>
      </c>
      <c r="F22">
        <v>16.8528595619138</v>
      </c>
      <c r="G22">
        <v>18.7533809569053</v>
      </c>
      <c r="H22">
        <v>-1.9562322135852801</v>
      </c>
      <c r="I22">
        <v>-2798.3767273325002</v>
      </c>
      <c r="J22">
        <v>1.87845247075595</v>
      </c>
      <c r="K22" t="b">
        <v>1</v>
      </c>
    </row>
    <row r="23" spans="1:11" x14ac:dyDescent="0.3">
      <c r="A23" t="s">
        <v>18</v>
      </c>
      <c r="B23" t="s">
        <v>36</v>
      </c>
      <c r="C23">
        <v>12</v>
      </c>
      <c r="D23">
        <v>3093.49490167365</v>
      </c>
      <c r="E23">
        <v>3669.8128958898401</v>
      </c>
      <c r="F23">
        <v>19.611114000241901</v>
      </c>
      <c r="G23">
        <v>22.4129282315428</v>
      </c>
      <c r="H23">
        <v>-2.50606353046927</v>
      </c>
      <c r="I23">
        <v>-3093.49490167365</v>
      </c>
      <c r="J23">
        <v>1.43287353156367</v>
      </c>
      <c r="K23" t="b">
        <v>1</v>
      </c>
    </row>
    <row r="24" spans="1:11" x14ac:dyDescent="0.3">
      <c r="A24" t="s">
        <v>28</v>
      </c>
      <c r="B24" t="s">
        <v>36</v>
      </c>
      <c r="C24">
        <v>12</v>
      </c>
      <c r="D24">
        <v>1882.6476730185</v>
      </c>
      <c r="E24">
        <v>1915.3802753555401</v>
      </c>
      <c r="F24">
        <v>31.587323056682202</v>
      </c>
      <c r="G24">
        <v>37.654282502066302</v>
      </c>
      <c r="H24">
        <v>-28.042874874212298</v>
      </c>
      <c r="I24">
        <v>-1882.6476730185</v>
      </c>
      <c r="J24">
        <v>4.8309100065542401</v>
      </c>
      <c r="K24" t="b">
        <v>1</v>
      </c>
    </row>
    <row r="25" spans="1:11" x14ac:dyDescent="0.3">
      <c r="A25" t="s">
        <v>33</v>
      </c>
      <c r="B25" t="s">
        <v>36</v>
      </c>
      <c r="C25">
        <v>12</v>
      </c>
      <c r="D25">
        <v>1734.38232498312</v>
      </c>
      <c r="E25">
        <v>1839.9247229550001</v>
      </c>
      <c r="F25">
        <v>31.895676772178401</v>
      </c>
      <c r="G25">
        <v>38.634673750151698</v>
      </c>
      <c r="H25">
        <v>-8.1754327251087808</v>
      </c>
      <c r="I25">
        <v>-1734.38232498312</v>
      </c>
      <c r="J25">
        <v>2.88128115042606</v>
      </c>
      <c r="K25" t="b">
        <v>1</v>
      </c>
    </row>
    <row r="26" spans="1:11" x14ac:dyDescent="0.3">
      <c r="A26" t="s">
        <v>24</v>
      </c>
      <c r="B26" t="s">
        <v>36</v>
      </c>
      <c r="C26">
        <v>12</v>
      </c>
      <c r="D26">
        <v>77.988785230139996</v>
      </c>
      <c r="E26">
        <v>85.723447314339097</v>
      </c>
      <c r="F26">
        <v>39.674703624755999</v>
      </c>
      <c r="G26">
        <v>36.797224612651803</v>
      </c>
      <c r="H26">
        <v>-4.87245386672706</v>
      </c>
      <c r="I26">
        <v>33.950740970581499</v>
      </c>
      <c r="J26">
        <v>2.08177015686364</v>
      </c>
      <c r="K26" t="b">
        <v>1</v>
      </c>
    </row>
    <row r="27" spans="1:11" x14ac:dyDescent="0.3">
      <c r="A27" t="s">
        <v>40</v>
      </c>
      <c r="B27" t="s">
        <v>36</v>
      </c>
      <c r="C27">
        <v>12</v>
      </c>
      <c r="D27">
        <v>1669.94330918374</v>
      </c>
      <c r="E27">
        <v>2019.98896322886</v>
      </c>
      <c r="F27">
        <v>58.044787711183197</v>
      </c>
      <c r="G27">
        <v>39.740193727349997</v>
      </c>
      <c r="H27">
        <v>-1.7269304301508701</v>
      </c>
      <c r="I27">
        <v>1573.5947191862699</v>
      </c>
      <c r="J27">
        <v>1.9446953140057399</v>
      </c>
      <c r="K27" t="b">
        <v>1</v>
      </c>
    </row>
    <row r="28" spans="1:11" x14ac:dyDescent="0.3">
      <c r="A28" t="s">
        <v>42</v>
      </c>
      <c r="B28" t="s">
        <v>36</v>
      </c>
      <c r="C28">
        <v>12</v>
      </c>
      <c r="D28">
        <v>978.30562122982303</v>
      </c>
      <c r="E28">
        <v>1076.08706379147</v>
      </c>
      <c r="F28">
        <v>74.476043295950603</v>
      </c>
      <c r="G28">
        <v>52.203433385108397</v>
      </c>
      <c r="H28">
        <v>-24.287489139520801</v>
      </c>
      <c r="I28">
        <v>880.51780976515295</v>
      </c>
      <c r="J28">
        <v>5.8619106690484202</v>
      </c>
      <c r="K28" t="b">
        <v>1</v>
      </c>
    </row>
    <row r="31" spans="1:11" x14ac:dyDescent="0.3">
      <c r="C31" t="s">
        <v>46</v>
      </c>
      <c r="D31" s="2">
        <f>AVERAGE(D1:D27)</f>
        <v>3950.1509733282942</v>
      </c>
      <c r="E31" s="2">
        <f t="shared" ref="E31:J31" si="0">AVERAGE(E1:E27)</f>
        <v>4505.9484276913199</v>
      </c>
      <c r="F31" s="2">
        <f t="shared" si="0"/>
        <v>15.268093288560662</v>
      </c>
      <c r="G31" s="2">
        <f t="shared" si="0"/>
        <v>15.501098210737805</v>
      </c>
      <c r="H31" s="2">
        <f t="shared" si="0"/>
        <v>-2.7483676362658267</v>
      </c>
      <c r="I31" s="2">
        <f t="shared" si="0"/>
        <v>-693.30042856752436</v>
      </c>
      <c r="J31" s="2">
        <f t="shared" si="0"/>
        <v>1.6807472134480261</v>
      </c>
    </row>
    <row r="32" spans="1:11" x14ac:dyDescent="0.3">
      <c r="C32" t="s">
        <v>47</v>
      </c>
      <c r="D32" s="2">
        <f>MEDIAN(D1:D27)</f>
        <v>2583.6060301644152</v>
      </c>
      <c r="E32" s="2">
        <f t="shared" ref="E32:J32" si="1">MEDIAN(E1:E27)</f>
        <v>3098.7084328590454</v>
      </c>
      <c r="F32" s="2">
        <f t="shared" si="1"/>
        <v>12.864242970085499</v>
      </c>
      <c r="G32" s="2">
        <f t="shared" si="1"/>
        <v>13.856872639491449</v>
      </c>
      <c r="H32" s="2">
        <f t="shared" si="1"/>
        <v>-1.6371747477393701</v>
      </c>
      <c r="I32" s="2">
        <f t="shared" si="1"/>
        <v>-859.14372137584098</v>
      </c>
      <c r="J32" s="2">
        <f t="shared" si="1"/>
        <v>1.5850935143244249</v>
      </c>
    </row>
  </sheetData>
  <autoFilter ref="A1:K28" xr:uid="{538AD1F5-4B0B-465E-8EE8-F53AD69E9497}"/>
  <sortState xmlns:xlrd2="http://schemas.microsoft.com/office/spreadsheetml/2017/richdata2" ref="A2:K33">
    <sortCondition ref="B1:B3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5AB4-92B6-4C20-BF5C-4B315B577C76}">
  <dimension ref="A1:K32"/>
  <sheetViews>
    <sheetView topLeftCell="A8" workbookViewId="0">
      <selection activeCell="D1" sqref="D1:J1"/>
    </sheetView>
  </sheetViews>
  <sheetFormatPr defaultColWidth="11.5546875" defaultRowHeight="14.4" x14ac:dyDescent="0.3"/>
  <cols>
    <col min="1" max="1" width="21.33203125" bestFit="1" customWidth="1"/>
    <col min="2" max="2" width="11.33203125" bestFit="1" customWidth="1"/>
    <col min="3" max="3" width="9.33203125" bestFit="1" customWidth="1"/>
    <col min="4" max="5" width="13.33203125" bestFit="1" customWidth="1"/>
    <col min="6" max="7" width="12" bestFit="1" customWidth="1"/>
    <col min="8" max="8" width="12.6640625" bestFit="1" customWidth="1"/>
    <col min="9" max="9" width="14" bestFit="1" customWidth="1"/>
    <col min="10" max="10" width="12" bestFit="1" customWidth="1"/>
    <col min="11" max="11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16</v>
      </c>
      <c r="B2" t="s">
        <v>17</v>
      </c>
      <c r="C2">
        <v>12</v>
      </c>
      <c r="D2">
        <v>5488.1326962312496</v>
      </c>
      <c r="E2">
        <v>6950.6775902693198</v>
      </c>
      <c r="F2">
        <v>2.1033083659327598</v>
      </c>
      <c r="G2">
        <v>2.0792491588108302</v>
      </c>
      <c r="H2">
        <v>0.68965929822725403</v>
      </c>
      <c r="I2">
        <v>2047.68474971365</v>
      </c>
      <c r="J2">
        <v>0.39561282164593198</v>
      </c>
      <c r="K2" t="b">
        <v>1</v>
      </c>
    </row>
    <row r="3" spans="1:11" x14ac:dyDescent="0.3">
      <c r="A3" t="s">
        <v>18</v>
      </c>
      <c r="B3" t="s">
        <v>17</v>
      </c>
      <c r="C3">
        <v>12</v>
      </c>
      <c r="D3">
        <v>2988.2350889232398</v>
      </c>
      <c r="E3">
        <v>3797.0012080818101</v>
      </c>
      <c r="F3">
        <v>2.1856836103845798</v>
      </c>
      <c r="G3">
        <v>2.1897589104077402</v>
      </c>
      <c r="H3">
        <v>0.72808654608519496</v>
      </c>
      <c r="I3">
        <v>-290.29726637777901</v>
      </c>
      <c r="J3">
        <v>0.35349851631911899</v>
      </c>
      <c r="K3" t="b">
        <v>1</v>
      </c>
    </row>
    <row r="4" spans="1:11" x14ac:dyDescent="0.3">
      <c r="A4" t="s">
        <v>25</v>
      </c>
      <c r="B4" t="s">
        <v>17</v>
      </c>
      <c r="C4">
        <v>12</v>
      </c>
      <c r="D4">
        <v>5051.7290321292003</v>
      </c>
      <c r="E4">
        <v>6354.2890436431699</v>
      </c>
      <c r="F4">
        <v>2.49986196445305</v>
      </c>
      <c r="G4">
        <v>2.4690143570569698</v>
      </c>
      <c r="H4">
        <v>0.67995282024127002</v>
      </c>
      <c r="I4">
        <v>2284.5086115070299</v>
      </c>
      <c r="J4">
        <v>0.35296054587527598</v>
      </c>
      <c r="K4" t="b">
        <v>1</v>
      </c>
    </row>
    <row r="5" spans="1:11" x14ac:dyDescent="0.3">
      <c r="A5" t="s">
        <v>28</v>
      </c>
      <c r="B5" t="s">
        <v>17</v>
      </c>
      <c r="C5">
        <v>12</v>
      </c>
      <c r="D5">
        <v>2323.2585724373798</v>
      </c>
      <c r="E5">
        <v>2993.65285919184</v>
      </c>
      <c r="F5">
        <v>2.5704297972197501</v>
      </c>
      <c r="G5">
        <v>2.5295265304144299</v>
      </c>
      <c r="H5">
        <v>0.74340963892766798</v>
      </c>
      <c r="I5">
        <v>1137.8213700781</v>
      </c>
      <c r="J5">
        <v>0.415791511779802</v>
      </c>
      <c r="K5" t="b">
        <v>1</v>
      </c>
    </row>
    <row r="6" spans="1:11" x14ac:dyDescent="0.3">
      <c r="A6" t="s">
        <v>19</v>
      </c>
      <c r="B6" t="s">
        <v>17</v>
      </c>
      <c r="C6">
        <v>12</v>
      </c>
      <c r="D6">
        <v>1725.31011154568</v>
      </c>
      <c r="E6">
        <v>2200.4019483135799</v>
      </c>
      <c r="F6">
        <v>2.6551573874768502</v>
      </c>
      <c r="G6">
        <v>2.6577216239625101</v>
      </c>
      <c r="H6">
        <v>0.499065055477802</v>
      </c>
      <c r="I6">
        <v>-134.45507329310101</v>
      </c>
      <c r="J6">
        <v>0.47598494123125601</v>
      </c>
      <c r="K6" t="b">
        <v>1</v>
      </c>
    </row>
    <row r="7" spans="1:11" x14ac:dyDescent="0.3">
      <c r="A7" t="s">
        <v>29</v>
      </c>
      <c r="B7" t="s">
        <v>17</v>
      </c>
      <c r="C7">
        <v>12</v>
      </c>
      <c r="D7">
        <v>3312.0064169153102</v>
      </c>
      <c r="E7">
        <v>4241.4356375364696</v>
      </c>
      <c r="F7">
        <v>2.6919569747191701</v>
      </c>
      <c r="G7">
        <v>2.68183592949344</v>
      </c>
      <c r="H7">
        <v>0.53814514392432999</v>
      </c>
      <c r="I7">
        <v>46.051908485301603</v>
      </c>
      <c r="J7">
        <v>0.50202832254055196</v>
      </c>
      <c r="K7" t="b">
        <v>1</v>
      </c>
    </row>
    <row r="8" spans="1:11" x14ac:dyDescent="0.3">
      <c r="A8" t="s">
        <v>32</v>
      </c>
      <c r="B8" t="s">
        <v>17</v>
      </c>
      <c r="C8">
        <v>12</v>
      </c>
      <c r="D8">
        <v>5990.4339248844299</v>
      </c>
      <c r="E8">
        <v>7257.5586520428797</v>
      </c>
      <c r="F8">
        <v>2.86802783590805</v>
      </c>
      <c r="G8">
        <v>2.9270351270265098</v>
      </c>
      <c r="H8">
        <v>5.2184511281500402E-2</v>
      </c>
      <c r="I8">
        <v>-5510.5026124420501</v>
      </c>
      <c r="J8">
        <v>0.715045923479115</v>
      </c>
      <c r="K8" t="b">
        <v>1</v>
      </c>
    </row>
    <row r="9" spans="1:11" x14ac:dyDescent="0.3">
      <c r="A9" t="s">
        <v>14</v>
      </c>
      <c r="B9" t="s">
        <v>17</v>
      </c>
      <c r="C9">
        <v>12</v>
      </c>
      <c r="D9">
        <v>360.97287321748399</v>
      </c>
      <c r="E9">
        <v>422.74447834990502</v>
      </c>
      <c r="F9">
        <v>2.9454208029906699</v>
      </c>
      <c r="G9">
        <v>2.9242960228680102</v>
      </c>
      <c r="H9">
        <v>0.74145098252306196</v>
      </c>
      <c r="I9">
        <v>82.757278690232695</v>
      </c>
      <c r="J9">
        <v>0.44329211213783098</v>
      </c>
      <c r="K9" t="b">
        <v>1</v>
      </c>
    </row>
    <row r="10" spans="1:11" x14ac:dyDescent="0.3">
      <c r="A10" t="s">
        <v>33</v>
      </c>
      <c r="B10" t="s">
        <v>17</v>
      </c>
      <c r="C10">
        <v>12</v>
      </c>
      <c r="D10">
        <v>1077.0073282056801</v>
      </c>
      <c r="E10">
        <v>1345.5892877834499</v>
      </c>
      <c r="F10">
        <v>2.9751394578711401</v>
      </c>
      <c r="G10">
        <v>2.9420923170679001</v>
      </c>
      <c r="H10">
        <v>0.437151597568118</v>
      </c>
      <c r="I10">
        <v>647.520753407906</v>
      </c>
      <c r="J10">
        <v>0.49732950293955602</v>
      </c>
      <c r="K10" t="b">
        <v>1</v>
      </c>
    </row>
    <row r="11" spans="1:11" x14ac:dyDescent="0.3">
      <c r="A11" t="s">
        <v>35</v>
      </c>
      <c r="B11" t="s">
        <v>17</v>
      </c>
      <c r="C11">
        <v>12</v>
      </c>
      <c r="D11">
        <v>1382.1310893514601</v>
      </c>
      <c r="E11">
        <v>1571.6303410169901</v>
      </c>
      <c r="F11">
        <v>3.0289485722774701</v>
      </c>
      <c r="G11">
        <v>3.0621990240664601</v>
      </c>
      <c r="H11">
        <v>0.55840788210340397</v>
      </c>
      <c r="I11">
        <v>-675.81487185390199</v>
      </c>
      <c r="J11">
        <v>0.42203369222168902</v>
      </c>
      <c r="K11" t="b">
        <v>1</v>
      </c>
    </row>
    <row r="12" spans="1:11" x14ac:dyDescent="0.3">
      <c r="A12" t="s">
        <v>27</v>
      </c>
      <c r="B12" t="s">
        <v>17</v>
      </c>
      <c r="C12">
        <v>12</v>
      </c>
      <c r="D12">
        <v>1111.3056886075101</v>
      </c>
      <c r="E12">
        <v>1285.2486324080301</v>
      </c>
      <c r="F12">
        <v>3.03538005145835</v>
      </c>
      <c r="G12">
        <v>3.01860005246566</v>
      </c>
      <c r="H12">
        <v>0.77181308267205995</v>
      </c>
      <c r="I12">
        <v>61.699103975042803</v>
      </c>
      <c r="J12">
        <v>0.33255352961500101</v>
      </c>
      <c r="K12" t="b">
        <v>1</v>
      </c>
    </row>
    <row r="13" spans="1:11" x14ac:dyDescent="0.3">
      <c r="A13" t="s">
        <v>34</v>
      </c>
      <c r="B13" t="s">
        <v>17</v>
      </c>
      <c r="C13">
        <v>12</v>
      </c>
      <c r="D13">
        <v>10319.642054444599</v>
      </c>
      <c r="E13">
        <v>12340.5736690546</v>
      </c>
      <c r="F13">
        <v>3.0925591325657198</v>
      </c>
      <c r="G13">
        <v>3.1496615972075799</v>
      </c>
      <c r="H13">
        <v>0.41785390855082399</v>
      </c>
      <c r="I13">
        <v>-6358.60427531395</v>
      </c>
      <c r="J13">
        <v>0.57303280688841696</v>
      </c>
      <c r="K13" t="b">
        <v>1</v>
      </c>
    </row>
    <row r="14" spans="1:11" x14ac:dyDescent="0.3">
      <c r="A14" t="s">
        <v>20</v>
      </c>
      <c r="B14" t="s">
        <v>17</v>
      </c>
      <c r="C14">
        <v>12</v>
      </c>
      <c r="D14">
        <v>1855.13876831787</v>
      </c>
      <c r="E14">
        <v>2023.6850375484901</v>
      </c>
      <c r="F14">
        <v>3.1106785902110698</v>
      </c>
      <c r="G14">
        <v>3.14489680404753</v>
      </c>
      <c r="H14">
        <v>0.63728897465965495</v>
      </c>
      <c r="I14">
        <v>-1117.5015017524499</v>
      </c>
      <c r="J14">
        <v>0.45552347627647699</v>
      </c>
      <c r="K14" t="b">
        <v>1</v>
      </c>
    </row>
    <row r="15" spans="1:11" x14ac:dyDescent="0.3">
      <c r="A15" t="s">
        <v>23</v>
      </c>
      <c r="B15" t="s">
        <v>17</v>
      </c>
      <c r="C15">
        <v>12</v>
      </c>
      <c r="D15">
        <v>3749.7262479681799</v>
      </c>
      <c r="E15">
        <v>4363.77206326749</v>
      </c>
      <c r="F15">
        <v>3.15975667694841</v>
      </c>
      <c r="G15">
        <v>3.1222042451552401</v>
      </c>
      <c r="H15">
        <v>0.69120680794962996</v>
      </c>
      <c r="I15">
        <v>782.76361677877003</v>
      </c>
      <c r="J15">
        <v>0.45044281207127101</v>
      </c>
      <c r="K15" t="b">
        <v>1</v>
      </c>
    </row>
    <row r="16" spans="1:11" x14ac:dyDescent="0.3">
      <c r="A16" t="s">
        <v>37</v>
      </c>
      <c r="B16" t="s">
        <v>17</v>
      </c>
      <c r="C16">
        <v>12</v>
      </c>
      <c r="D16">
        <v>1841.3850252191201</v>
      </c>
      <c r="E16">
        <v>2141.5080685113198</v>
      </c>
      <c r="F16">
        <v>3.2533429587029699</v>
      </c>
      <c r="G16">
        <v>3.2140804137203598</v>
      </c>
      <c r="H16">
        <v>0.511428809337098</v>
      </c>
      <c r="I16">
        <v>631.16711921573699</v>
      </c>
      <c r="J16">
        <v>0.58989198939851395</v>
      </c>
      <c r="K16" t="b">
        <v>1</v>
      </c>
    </row>
    <row r="17" spans="1:11" x14ac:dyDescent="0.3">
      <c r="A17" t="s">
        <v>38</v>
      </c>
      <c r="B17" t="s">
        <v>17</v>
      </c>
      <c r="C17">
        <v>12</v>
      </c>
      <c r="D17">
        <v>2826.2225183725</v>
      </c>
      <c r="E17">
        <v>3415.00202800135</v>
      </c>
      <c r="F17">
        <v>3.3374053700783399</v>
      </c>
      <c r="G17">
        <v>3.40807350319914</v>
      </c>
      <c r="H17">
        <v>0.238598999831859</v>
      </c>
      <c r="I17">
        <v>-1897.8259431087099</v>
      </c>
      <c r="J17">
        <v>0.61951232770031806</v>
      </c>
      <c r="K17" t="b">
        <v>1</v>
      </c>
    </row>
    <row r="18" spans="1:11" x14ac:dyDescent="0.3">
      <c r="A18" t="s">
        <v>13</v>
      </c>
      <c r="B18" t="s">
        <v>17</v>
      </c>
      <c r="C18">
        <v>12</v>
      </c>
      <c r="D18">
        <v>1302.49347258891</v>
      </c>
      <c r="E18">
        <v>1632.2260333460399</v>
      </c>
      <c r="F18">
        <v>3.4290474680110901</v>
      </c>
      <c r="G18">
        <v>3.3354007192970698</v>
      </c>
      <c r="H18">
        <v>0.56501683523408996</v>
      </c>
      <c r="I18">
        <v>1191.2744296675401</v>
      </c>
      <c r="J18">
        <v>0.53026515503991201</v>
      </c>
      <c r="K18" t="b">
        <v>1</v>
      </c>
    </row>
    <row r="19" spans="1:11" x14ac:dyDescent="0.3">
      <c r="A19" t="s">
        <v>40</v>
      </c>
      <c r="B19" t="s">
        <v>17</v>
      </c>
      <c r="C19">
        <v>12</v>
      </c>
      <c r="D19">
        <v>1924.45976669538</v>
      </c>
      <c r="E19">
        <v>2131.2191931994998</v>
      </c>
      <c r="F19">
        <v>3.4706274999673501</v>
      </c>
      <c r="G19">
        <v>3.4619250171096798</v>
      </c>
      <c r="H19">
        <v>0.665123265034825</v>
      </c>
      <c r="I19">
        <v>4.5704005189297003</v>
      </c>
      <c r="J19">
        <v>0.44095406749509197</v>
      </c>
      <c r="K19" t="b">
        <v>1</v>
      </c>
    </row>
    <row r="20" spans="1:11" x14ac:dyDescent="0.3">
      <c r="A20" t="s">
        <v>11</v>
      </c>
      <c r="B20" t="s">
        <v>17</v>
      </c>
      <c r="C20">
        <v>12</v>
      </c>
      <c r="D20">
        <v>31982.487723711001</v>
      </c>
      <c r="E20">
        <v>37895.4217635565</v>
      </c>
      <c r="F20">
        <v>3.9352580639363</v>
      </c>
      <c r="G20">
        <v>4.0371797853229099</v>
      </c>
      <c r="H20">
        <v>-0.173679355555203</v>
      </c>
      <c r="I20">
        <v>-26606.8507688682</v>
      </c>
      <c r="J20">
        <v>0.81980958996491404</v>
      </c>
      <c r="K20" t="b">
        <v>1</v>
      </c>
    </row>
    <row r="21" spans="1:11" x14ac:dyDescent="0.3">
      <c r="A21" t="s">
        <v>24</v>
      </c>
      <c r="B21" t="s">
        <v>17</v>
      </c>
      <c r="C21">
        <v>12</v>
      </c>
      <c r="D21">
        <v>733.67786597368399</v>
      </c>
      <c r="E21">
        <v>876.82295286122098</v>
      </c>
      <c r="F21">
        <v>4.4690906344724404</v>
      </c>
      <c r="G21">
        <v>4.3405567496812596</v>
      </c>
      <c r="H21">
        <v>0.148303085777723</v>
      </c>
      <c r="I21">
        <v>639.272861064317</v>
      </c>
      <c r="J21">
        <v>0.82539321177076996</v>
      </c>
      <c r="K21" t="b">
        <v>1</v>
      </c>
    </row>
    <row r="22" spans="1:11" x14ac:dyDescent="0.3">
      <c r="A22" t="s">
        <v>42</v>
      </c>
      <c r="B22" t="s">
        <v>17</v>
      </c>
      <c r="C22">
        <v>12</v>
      </c>
      <c r="D22">
        <v>665.81423216656401</v>
      </c>
      <c r="E22">
        <v>834.40485053660802</v>
      </c>
      <c r="F22">
        <v>4.5181768128769697</v>
      </c>
      <c r="G22">
        <v>4.3893504599150202</v>
      </c>
      <c r="H22">
        <v>0.35877039151623202</v>
      </c>
      <c r="I22">
        <v>458.00125760782203</v>
      </c>
      <c r="J22">
        <v>0.640906861995576</v>
      </c>
      <c r="K22" t="b">
        <v>1</v>
      </c>
    </row>
    <row r="23" spans="1:11" x14ac:dyDescent="0.3">
      <c r="A23" t="s">
        <v>30</v>
      </c>
      <c r="B23" t="s">
        <v>17</v>
      </c>
      <c r="C23">
        <v>12</v>
      </c>
      <c r="D23">
        <v>20105.3376795148</v>
      </c>
      <c r="E23">
        <v>23748.8013262555</v>
      </c>
      <c r="F23">
        <v>4.8418985978431897</v>
      </c>
      <c r="G23">
        <v>5.0090434164842597</v>
      </c>
      <c r="H23">
        <v>-0.30678521113870499</v>
      </c>
      <c r="I23">
        <v>-19736.5570686582</v>
      </c>
      <c r="J23">
        <v>0.871760950741018</v>
      </c>
      <c r="K23" t="b">
        <v>1</v>
      </c>
    </row>
    <row r="24" spans="1:11" x14ac:dyDescent="0.3">
      <c r="A24" t="s">
        <v>26</v>
      </c>
      <c r="B24" t="s">
        <v>17</v>
      </c>
      <c r="C24">
        <v>12</v>
      </c>
      <c r="D24">
        <v>2602.3496689797298</v>
      </c>
      <c r="E24">
        <v>3043.75091677724</v>
      </c>
      <c r="F24">
        <v>5.0514738135610102</v>
      </c>
      <c r="G24">
        <v>5.0155872935614596</v>
      </c>
      <c r="H24">
        <v>0.407053166659678</v>
      </c>
      <c r="I24">
        <v>-183.37605959810099</v>
      </c>
      <c r="J24">
        <v>0.80971915405010897</v>
      </c>
      <c r="K24" t="b">
        <v>1</v>
      </c>
    </row>
    <row r="25" spans="1:11" x14ac:dyDescent="0.3">
      <c r="A25" t="s">
        <v>15</v>
      </c>
      <c r="B25" t="s">
        <v>17</v>
      </c>
      <c r="C25">
        <v>12</v>
      </c>
      <c r="D25">
        <v>15425.125551233299</v>
      </c>
      <c r="E25">
        <v>17836.2515155412</v>
      </c>
      <c r="F25">
        <v>5.5644196408572304</v>
      </c>
      <c r="G25">
        <v>5.7737350011052504</v>
      </c>
      <c r="H25">
        <v>-0.85094453114087198</v>
      </c>
      <c r="I25">
        <v>-14741.6437875831</v>
      </c>
      <c r="J25">
        <v>0.983689068391434</v>
      </c>
      <c r="K25" t="b">
        <v>1</v>
      </c>
    </row>
    <row r="26" spans="1:11" x14ac:dyDescent="0.3">
      <c r="A26" t="s">
        <v>22</v>
      </c>
      <c r="B26" t="s">
        <v>17</v>
      </c>
      <c r="C26">
        <v>12</v>
      </c>
      <c r="D26">
        <v>8279.5806165814101</v>
      </c>
      <c r="E26">
        <v>9679.5072766498197</v>
      </c>
      <c r="F26">
        <v>6.1443678731517899</v>
      </c>
      <c r="G26">
        <v>6.4081497873775897</v>
      </c>
      <c r="H26">
        <v>-1.4564822768543899</v>
      </c>
      <c r="I26">
        <v>-8029.2736386980896</v>
      </c>
      <c r="J26">
        <v>1.2987953441953699</v>
      </c>
      <c r="K26" t="b">
        <v>1</v>
      </c>
    </row>
    <row r="27" spans="1:11" x14ac:dyDescent="0.3">
      <c r="A27" t="s">
        <v>39</v>
      </c>
      <c r="B27" t="s">
        <v>17</v>
      </c>
      <c r="C27">
        <v>12</v>
      </c>
      <c r="D27">
        <v>5150.0422568310096</v>
      </c>
      <c r="E27">
        <v>5923.1921476867001</v>
      </c>
      <c r="F27">
        <v>6.2330687018509003</v>
      </c>
      <c r="G27">
        <v>6.49566876861154</v>
      </c>
      <c r="H27">
        <v>-1.1417557337352</v>
      </c>
      <c r="I27">
        <v>-5150.0422568310096</v>
      </c>
      <c r="J27">
        <v>1.38722991489342</v>
      </c>
      <c r="K27" t="b">
        <v>1</v>
      </c>
    </row>
    <row r="28" spans="1:11" x14ac:dyDescent="0.3">
      <c r="A28" t="s">
        <v>21</v>
      </c>
      <c r="B28" t="s">
        <v>17</v>
      </c>
      <c r="C28">
        <v>12</v>
      </c>
      <c r="D28">
        <v>3666.7496210038098</v>
      </c>
      <c r="E28">
        <v>4428.05356164971</v>
      </c>
      <c r="F28">
        <v>6.7430382839036298</v>
      </c>
      <c r="G28">
        <v>7.0779604599313597</v>
      </c>
      <c r="H28">
        <v>-1.06991457163196</v>
      </c>
      <c r="I28">
        <v>-3495.52625584002</v>
      </c>
      <c r="J28">
        <v>1.10056791024847</v>
      </c>
      <c r="K28" t="b">
        <v>1</v>
      </c>
    </row>
    <row r="31" spans="1:11" x14ac:dyDescent="0.3">
      <c r="C31" t="s">
        <v>46</v>
      </c>
      <c r="D31" s="1">
        <f>AVERAGE(D1:D27)</f>
        <v>5368.2310104248718</v>
      </c>
      <c r="E31" s="1">
        <f t="shared" ref="E31:J31" si="0">AVERAGE(E1:E27)</f>
        <v>6396.3987892858095</v>
      </c>
      <c r="F31" s="1">
        <f t="shared" si="0"/>
        <v>3.5834802559894849</v>
      </c>
      <c r="G31" s="1">
        <f t="shared" si="0"/>
        <v>3.6071862544398599</v>
      </c>
      <c r="H31" s="1">
        <f t="shared" si="0"/>
        <v>0.27501244981380413</v>
      </c>
      <c r="I31" s="1">
        <f t="shared" si="0"/>
        <v>-3092.9866024487787</v>
      </c>
      <c r="J31" s="1">
        <f t="shared" si="0"/>
        <v>0.62319454425606691</v>
      </c>
    </row>
    <row r="32" spans="1:11" x14ac:dyDescent="0.3">
      <c r="C32" t="s">
        <v>47</v>
      </c>
      <c r="D32">
        <f>MEDIAN(D1:D27)</f>
        <v>2714.2860936761149</v>
      </c>
      <c r="E32">
        <f t="shared" ref="E32:J32" si="1">MEDIAN(E1:E27)</f>
        <v>3229.376472389295</v>
      </c>
      <c r="F32">
        <f t="shared" si="1"/>
        <v>3.1352176335797397</v>
      </c>
      <c r="G32">
        <f t="shared" si="1"/>
        <v>3.1472792006275547</v>
      </c>
      <c r="H32">
        <f t="shared" si="1"/>
        <v>0.50524693240745</v>
      </c>
      <c r="I32">
        <f t="shared" si="1"/>
        <v>-64.94233638708566</v>
      </c>
      <c r="J32">
        <f t="shared" si="1"/>
        <v>0.51614673879023198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CB50-8180-4D85-A9E6-1E929C575514}">
  <dimension ref="A1:K33"/>
  <sheetViews>
    <sheetView topLeftCell="A9" workbookViewId="0">
      <selection sqref="A1:K1048576"/>
    </sheetView>
  </sheetViews>
  <sheetFormatPr defaultColWidth="11.5546875" defaultRowHeight="14.4" x14ac:dyDescent="0.3"/>
  <cols>
    <col min="1" max="1" width="21.33203125" bestFit="1" customWidth="1"/>
    <col min="2" max="2" width="7.88671875" bestFit="1" customWidth="1"/>
    <col min="3" max="3" width="9.33203125" bestFit="1" customWidth="1"/>
    <col min="4" max="5" width="13.33203125" bestFit="1" customWidth="1"/>
    <col min="6" max="7" width="12" bestFit="1" customWidth="1"/>
    <col min="8" max="9" width="12.6640625" bestFit="1" customWidth="1"/>
    <col min="10" max="10" width="12" bestFit="1" customWidth="1"/>
    <col min="11" max="11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12</v>
      </c>
      <c r="D2">
        <v>5082.3432692451597</v>
      </c>
      <c r="E2">
        <v>6478.8552480265898</v>
      </c>
      <c r="F2">
        <v>1.8808432057015301</v>
      </c>
      <c r="G2">
        <v>1.8709267278008299</v>
      </c>
      <c r="H2">
        <v>0.79178754211808899</v>
      </c>
      <c r="I2">
        <v>-294.19789936251902</v>
      </c>
      <c r="J2">
        <v>0.55225034642061699</v>
      </c>
      <c r="K2" t="b">
        <v>1</v>
      </c>
    </row>
    <row r="3" spans="1:11" x14ac:dyDescent="0.3">
      <c r="A3" t="s">
        <v>13</v>
      </c>
      <c r="B3" t="s">
        <v>12</v>
      </c>
      <c r="C3">
        <v>12</v>
      </c>
      <c r="D3">
        <v>145.59442899929999</v>
      </c>
      <c r="E3">
        <v>182.458142077834</v>
      </c>
      <c r="F3">
        <v>1.8992929532237299</v>
      </c>
      <c r="G3">
        <v>1.90059207456143</v>
      </c>
      <c r="H3">
        <v>0.24930535137766999</v>
      </c>
      <c r="I3">
        <v>11.1756534773611</v>
      </c>
      <c r="J3">
        <v>0.51182953820295096</v>
      </c>
      <c r="K3" t="b">
        <v>1</v>
      </c>
    </row>
    <row r="4" spans="1:11" x14ac:dyDescent="0.3">
      <c r="A4" t="s">
        <v>14</v>
      </c>
      <c r="B4" t="s">
        <v>12</v>
      </c>
      <c r="C4">
        <v>12</v>
      </c>
      <c r="D4">
        <v>68.630634996339495</v>
      </c>
      <c r="E4">
        <v>88.661735207519598</v>
      </c>
      <c r="F4">
        <v>2.0139271926297702</v>
      </c>
      <c r="G4">
        <v>2.0436561556455302</v>
      </c>
      <c r="H4">
        <v>0.41706295108356001</v>
      </c>
      <c r="I4">
        <v>-53.090522875410301</v>
      </c>
      <c r="J4">
        <v>0.52117926703038797</v>
      </c>
      <c r="K4" t="b">
        <v>1</v>
      </c>
    </row>
    <row r="5" spans="1:11" x14ac:dyDescent="0.3">
      <c r="A5" t="s">
        <v>15</v>
      </c>
      <c r="B5" t="s">
        <v>12</v>
      </c>
      <c r="C5">
        <v>12</v>
      </c>
      <c r="D5">
        <v>1771.5415525789999</v>
      </c>
      <c r="E5">
        <v>2409.3913893690701</v>
      </c>
      <c r="F5">
        <v>2.0318458082693498</v>
      </c>
      <c r="G5">
        <v>2.0386411075231901</v>
      </c>
      <c r="H5">
        <v>0.88249503428411002</v>
      </c>
      <c r="I5">
        <v>-601.33857298935902</v>
      </c>
      <c r="J5">
        <v>0.49529450512955497</v>
      </c>
      <c r="K5" t="b">
        <v>1</v>
      </c>
    </row>
    <row r="6" spans="1:11" x14ac:dyDescent="0.3">
      <c r="A6" t="s">
        <v>19</v>
      </c>
      <c r="B6" t="s">
        <v>12</v>
      </c>
      <c r="C6">
        <v>12</v>
      </c>
      <c r="D6">
        <v>485.18161894842501</v>
      </c>
      <c r="E6">
        <v>569.89047154033096</v>
      </c>
      <c r="F6">
        <v>2.2049292759136301</v>
      </c>
      <c r="G6">
        <v>2.2103252098796702</v>
      </c>
      <c r="H6">
        <v>0.63667268735484395</v>
      </c>
      <c r="I6">
        <v>-87.778188291076404</v>
      </c>
      <c r="J6">
        <v>0.43482192529351699</v>
      </c>
      <c r="K6" t="b">
        <v>1</v>
      </c>
    </row>
    <row r="7" spans="1:11" x14ac:dyDescent="0.3">
      <c r="A7" t="s">
        <v>20</v>
      </c>
      <c r="B7" t="s">
        <v>12</v>
      </c>
      <c r="C7">
        <v>12</v>
      </c>
      <c r="D7">
        <v>350.21059457798702</v>
      </c>
      <c r="E7">
        <v>477.47536400427799</v>
      </c>
      <c r="F7">
        <v>2.2883846680226898</v>
      </c>
      <c r="G7">
        <v>2.3015545809979998</v>
      </c>
      <c r="H7">
        <v>0.73167183808007397</v>
      </c>
      <c r="I7">
        <v>-29.147248081384401</v>
      </c>
      <c r="J7">
        <v>0.56800108016620798</v>
      </c>
      <c r="K7" t="b">
        <v>1</v>
      </c>
    </row>
    <row r="8" spans="1:11" x14ac:dyDescent="0.3">
      <c r="A8" t="s">
        <v>21</v>
      </c>
      <c r="B8" t="s">
        <v>12</v>
      </c>
      <c r="C8">
        <v>12</v>
      </c>
      <c r="D8">
        <v>473.684536066438</v>
      </c>
      <c r="E8">
        <v>533.42043492360995</v>
      </c>
      <c r="F8">
        <v>2.2898641708521401</v>
      </c>
      <c r="G8">
        <v>2.2991538575933501</v>
      </c>
      <c r="H8">
        <v>0.31644586206073499</v>
      </c>
      <c r="I8">
        <v>-131.88675037670399</v>
      </c>
      <c r="J8">
        <v>0.52937898627292201</v>
      </c>
      <c r="K8" t="b">
        <v>1</v>
      </c>
    </row>
    <row r="9" spans="1:11" x14ac:dyDescent="0.3">
      <c r="A9" t="s">
        <v>22</v>
      </c>
      <c r="B9" t="s">
        <v>12</v>
      </c>
      <c r="C9">
        <v>12</v>
      </c>
      <c r="D9">
        <v>1188.78428337948</v>
      </c>
      <c r="E9">
        <v>1399.0562461459499</v>
      </c>
      <c r="F9">
        <v>2.3148336623334602</v>
      </c>
      <c r="G9">
        <v>2.30232433540943</v>
      </c>
      <c r="H9">
        <v>0.51636442231690705</v>
      </c>
      <c r="I9">
        <v>409.61064758817201</v>
      </c>
      <c r="J9">
        <v>0.59092317136171002</v>
      </c>
      <c r="K9" t="b">
        <v>1</v>
      </c>
    </row>
    <row r="10" spans="1:11" x14ac:dyDescent="0.3">
      <c r="A10" t="s">
        <v>23</v>
      </c>
      <c r="B10" t="s">
        <v>12</v>
      </c>
      <c r="C10">
        <v>12</v>
      </c>
      <c r="D10">
        <v>867.81944080810194</v>
      </c>
      <c r="E10">
        <v>1016.5263967516</v>
      </c>
      <c r="F10">
        <v>2.3306759387538798</v>
      </c>
      <c r="G10">
        <v>2.3274139940488499</v>
      </c>
      <c r="H10">
        <v>0.49201186401927899</v>
      </c>
      <c r="I10">
        <v>-30.6480640365019</v>
      </c>
      <c r="J10">
        <v>0.489326902622154</v>
      </c>
      <c r="K10" t="b">
        <v>1</v>
      </c>
    </row>
    <row r="11" spans="1:11" x14ac:dyDescent="0.3">
      <c r="A11" t="s">
        <v>24</v>
      </c>
      <c r="B11" t="s">
        <v>12</v>
      </c>
      <c r="C11">
        <v>12</v>
      </c>
      <c r="D11">
        <v>72.488117381920802</v>
      </c>
      <c r="E11">
        <v>107.370527526842</v>
      </c>
      <c r="F11">
        <v>2.4012690521048801</v>
      </c>
      <c r="G11">
        <v>2.46441131817951</v>
      </c>
      <c r="H11">
        <v>0.28553829390116697</v>
      </c>
      <c r="I11">
        <v>-68.456334650660395</v>
      </c>
      <c r="J11">
        <v>0.52984292191024296</v>
      </c>
      <c r="K11" t="b">
        <v>1</v>
      </c>
    </row>
    <row r="12" spans="1:11" x14ac:dyDescent="0.3">
      <c r="A12" t="s">
        <v>26</v>
      </c>
      <c r="B12" t="s">
        <v>12</v>
      </c>
      <c r="C12">
        <v>12</v>
      </c>
      <c r="D12">
        <v>407.35712736922</v>
      </c>
      <c r="E12">
        <v>530.95821420293805</v>
      </c>
      <c r="F12">
        <v>2.5217559220112</v>
      </c>
      <c r="G12">
        <v>2.5644834793944198</v>
      </c>
      <c r="H12">
        <v>0.319889573713798</v>
      </c>
      <c r="I12">
        <v>-237.922489603158</v>
      </c>
      <c r="J12">
        <v>0.53624869587479695</v>
      </c>
      <c r="K12" t="b">
        <v>1</v>
      </c>
    </row>
    <row r="13" spans="1:11" x14ac:dyDescent="0.3">
      <c r="A13" t="s">
        <v>27</v>
      </c>
      <c r="B13" t="s">
        <v>12</v>
      </c>
      <c r="C13">
        <v>12</v>
      </c>
      <c r="D13">
        <v>193.90870088269901</v>
      </c>
      <c r="E13">
        <v>228.45185542152399</v>
      </c>
      <c r="F13">
        <v>2.5490308594715101</v>
      </c>
      <c r="G13">
        <v>2.56787124391745</v>
      </c>
      <c r="H13">
        <v>-0.12178801705217</v>
      </c>
      <c r="I13">
        <v>-77.725232220964003</v>
      </c>
      <c r="J13">
        <v>0.66452340973498503</v>
      </c>
      <c r="K13" t="b">
        <v>1</v>
      </c>
    </row>
    <row r="14" spans="1:11" x14ac:dyDescent="0.3">
      <c r="A14" t="s">
        <v>28</v>
      </c>
      <c r="B14" t="s">
        <v>12</v>
      </c>
      <c r="C14">
        <v>12</v>
      </c>
      <c r="D14">
        <v>766.68524986553996</v>
      </c>
      <c r="E14">
        <v>1101.4450147241</v>
      </c>
      <c r="F14">
        <v>2.5595971566270701</v>
      </c>
      <c r="G14">
        <v>2.6004937338307301</v>
      </c>
      <c r="H14">
        <v>0.115284879013484</v>
      </c>
      <c r="I14">
        <v>-341.27921104151699</v>
      </c>
      <c r="J14">
        <v>0.63065432763682405</v>
      </c>
      <c r="K14" t="b">
        <v>1</v>
      </c>
    </row>
    <row r="15" spans="1:11" x14ac:dyDescent="0.3">
      <c r="A15" t="s">
        <v>32</v>
      </c>
      <c r="B15" t="s">
        <v>12</v>
      </c>
      <c r="C15">
        <v>12</v>
      </c>
      <c r="D15">
        <v>2235.1507557292598</v>
      </c>
      <c r="E15">
        <v>2991.8396586966201</v>
      </c>
      <c r="F15">
        <v>2.9836766169265898</v>
      </c>
      <c r="G15">
        <v>2.95234771205901</v>
      </c>
      <c r="H15">
        <v>0.65738528173765198</v>
      </c>
      <c r="I15">
        <v>450.97163861892398</v>
      </c>
      <c r="J15">
        <v>0.51428587439711304</v>
      </c>
      <c r="K15" t="b">
        <v>1</v>
      </c>
    </row>
    <row r="16" spans="1:11" x14ac:dyDescent="0.3">
      <c r="A16" t="s">
        <v>29</v>
      </c>
      <c r="B16" t="s">
        <v>12</v>
      </c>
      <c r="C16">
        <v>12</v>
      </c>
      <c r="D16">
        <v>1434.0140822621099</v>
      </c>
      <c r="E16">
        <v>1774.3898440538201</v>
      </c>
      <c r="F16">
        <v>2.9911087649227999</v>
      </c>
      <c r="G16">
        <v>2.97321895371635</v>
      </c>
      <c r="H16">
        <v>0.13149309963974901</v>
      </c>
      <c r="I16">
        <v>44.776135554859103</v>
      </c>
      <c r="J16">
        <v>0.61859803340393105</v>
      </c>
      <c r="K16" t="b">
        <v>1</v>
      </c>
    </row>
    <row r="17" spans="1:11" x14ac:dyDescent="0.3">
      <c r="A17" t="s">
        <v>34</v>
      </c>
      <c r="B17" t="s">
        <v>12</v>
      </c>
      <c r="C17">
        <v>12</v>
      </c>
      <c r="D17">
        <v>2001.8111938964701</v>
      </c>
      <c r="E17">
        <v>2547.1405615733402</v>
      </c>
      <c r="F17">
        <v>3.0247744465087698</v>
      </c>
      <c r="G17">
        <v>2.97080557973212</v>
      </c>
      <c r="H17">
        <v>0.862873765986088</v>
      </c>
      <c r="I17">
        <v>893.70688477458395</v>
      </c>
      <c r="J17">
        <v>0.52854730179986698</v>
      </c>
      <c r="K17" t="b">
        <v>1</v>
      </c>
    </row>
    <row r="18" spans="1:11" x14ac:dyDescent="0.3">
      <c r="A18" t="s">
        <v>30</v>
      </c>
      <c r="B18" t="s">
        <v>12</v>
      </c>
      <c r="C18">
        <v>12</v>
      </c>
      <c r="D18">
        <v>3922.4575281970501</v>
      </c>
      <c r="E18">
        <v>4584.6760189655897</v>
      </c>
      <c r="F18">
        <v>3.1173654563575899</v>
      </c>
      <c r="G18">
        <v>3.1126696199900401</v>
      </c>
      <c r="H18">
        <v>0.41134750188008201</v>
      </c>
      <c r="I18">
        <v>-807.09516533527596</v>
      </c>
      <c r="J18">
        <v>0.67095121331600505</v>
      </c>
      <c r="K18" t="b">
        <v>1</v>
      </c>
    </row>
    <row r="19" spans="1:11" x14ac:dyDescent="0.3">
      <c r="A19" t="s">
        <v>35</v>
      </c>
      <c r="B19" t="s">
        <v>12</v>
      </c>
      <c r="C19">
        <v>12</v>
      </c>
      <c r="D19">
        <v>507.02162140917198</v>
      </c>
      <c r="E19">
        <v>555.90827800716295</v>
      </c>
      <c r="F19">
        <v>3.13311643243643</v>
      </c>
      <c r="G19">
        <v>3.16523530095703</v>
      </c>
      <c r="H19">
        <v>0.32110459112127399</v>
      </c>
      <c r="I19">
        <v>-228.37452784787399</v>
      </c>
      <c r="J19">
        <v>0.62447231398872105</v>
      </c>
      <c r="K19" t="b">
        <v>1</v>
      </c>
    </row>
    <row r="20" spans="1:11" x14ac:dyDescent="0.3">
      <c r="A20" t="s">
        <v>16</v>
      </c>
      <c r="B20" t="s">
        <v>12</v>
      </c>
      <c r="C20">
        <v>12</v>
      </c>
      <c r="D20">
        <v>1884.3849511461001</v>
      </c>
      <c r="E20">
        <v>2451.7709598430902</v>
      </c>
      <c r="F20">
        <v>3.55275838213969</v>
      </c>
      <c r="G20">
        <v>3.6576648578492299</v>
      </c>
      <c r="H20">
        <v>0.58071725333782798</v>
      </c>
      <c r="I20">
        <v>-1883.59787031829</v>
      </c>
      <c r="J20">
        <v>0.79288534224406604</v>
      </c>
      <c r="K20" t="b">
        <v>1</v>
      </c>
    </row>
    <row r="21" spans="1:11" x14ac:dyDescent="0.3">
      <c r="A21" t="s">
        <v>39</v>
      </c>
      <c r="B21" t="s">
        <v>12</v>
      </c>
      <c r="C21">
        <v>12</v>
      </c>
      <c r="D21">
        <v>556.28335328128799</v>
      </c>
      <c r="E21">
        <v>633.00364499094803</v>
      </c>
      <c r="F21">
        <v>3.6815787636301498</v>
      </c>
      <c r="G21">
        <v>3.76857507802973</v>
      </c>
      <c r="H21">
        <v>-0.36050627492933202</v>
      </c>
      <c r="I21">
        <v>-519.61336249439705</v>
      </c>
      <c r="J21">
        <v>1.10984927774437</v>
      </c>
      <c r="K21" t="b">
        <v>1</v>
      </c>
    </row>
    <row r="22" spans="1:11" x14ac:dyDescent="0.3">
      <c r="A22" t="s">
        <v>38</v>
      </c>
      <c r="B22" t="s">
        <v>12</v>
      </c>
      <c r="C22">
        <v>12</v>
      </c>
      <c r="D22">
        <v>933.45862229501495</v>
      </c>
      <c r="E22">
        <v>1151.5478574399201</v>
      </c>
      <c r="F22">
        <v>3.8307553059105799</v>
      </c>
      <c r="G22">
        <v>3.9401096516057401</v>
      </c>
      <c r="H22">
        <v>0.21591845861526299</v>
      </c>
      <c r="I22">
        <v>-844.41089886077998</v>
      </c>
      <c r="J22">
        <v>1.0297148752046099</v>
      </c>
      <c r="K22" t="b">
        <v>1</v>
      </c>
    </row>
    <row r="23" spans="1:11" x14ac:dyDescent="0.3">
      <c r="A23" t="s">
        <v>37</v>
      </c>
      <c r="B23" t="s">
        <v>12</v>
      </c>
      <c r="C23">
        <v>12</v>
      </c>
      <c r="D23">
        <v>722.73120083717799</v>
      </c>
      <c r="E23">
        <v>885.30080266514506</v>
      </c>
      <c r="F23">
        <v>4.1488229343984901</v>
      </c>
      <c r="G23">
        <v>4.1658338983036796</v>
      </c>
      <c r="H23">
        <v>-0.43655565114487599</v>
      </c>
      <c r="I23">
        <v>148.433009340555</v>
      </c>
      <c r="J23">
        <v>0.92787297826623305</v>
      </c>
      <c r="K23" t="b">
        <v>1</v>
      </c>
    </row>
    <row r="24" spans="1:11" x14ac:dyDescent="0.3">
      <c r="A24" t="s">
        <v>42</v>
      </c>
      <c r="B24" t="s">
        <v>12</v>
      </c>
      <c r="C24">
        <v>12</v>
      </c>
      <c r="D24">
        <v>118.82480677353701</v>
      </c>
      <c r="E24">
        <v>150.67770877063401</v>
      </c>
      <c r="F24">
        <v>4.2601945761969997</v>
      </c>
      <c r="G24">
        <v>4.406124893896</v>
      </c>
      <c r="H24">
        <v>0.132352496733362</v>
      </c>
      <c r="I24">
        <v>-107.52972044265999</v>
      </c>
      <c r="J24">
        <v>0.93636211973925998</v>
      </c>
      <c r="K24" t="b">
        <v>1</v>
      </c>
    </row>
    <row r="25" spans="1:11" x14ac:dyDescent="0.3">
      <c r="A25" t="s">
        <v>40</v>
      </c>
      <c r="B25" t="s">
        <v>12</v>
      </c>
      <c r="C25">
        <v>12</v>
      </c>
      <c r="D25">
        <v>677.02351456360202</v>
      </c>
      <c r="E25">
        <v>877.12142027036703</v>
      </c>
      <c r="F25">
        <v>4.3391280708828202</v>
      </c>
      <c r="G25">
        <v>4.18800775834075</v>
      </c>
      <c r="H25">
        <v>-0.76178355028768696</v>
      </c>
      <c r="I25">
        <v>593.84725690965399</v>
      </c>
      <c r="J25">
        <v>0.76508797856484101</v>
      </c>
      <c r="K25" t="b">
        <v>1</v>
      </c>
    </row>
    <row r="26" spans="1:11" x14ac:dyDescent="0.3">
      <c r="A26" t="s">
        <v>33</v>
      </c>
      <c r="B26" t="s">
        <v>12</v>
      </c>
      <c r="C26">
        <v>12</v>
      </c>
      <c r="D26">
        <v>681.08437664402697</v>
      </c>
      <c r="E26">
        <v>912.75103848528397</v>
      </c>
      <c r="F26">
        <v>5.3407567402795602</v>
      </c>
      <c r="G26">
        <v>5.5443728249205204</v>
      </c>
      <c r="H26">
        <v>-1.7944143374611401</v>
      </c>
      <c r="I26">
        <v>-491.48381038841097</v>
      </c>
      <c r="J26">
        <v>1.14882671072624</v>
      </c>
      <c r="K26" t="b">
        <v>1</v>
      </c>
    </row>
    <row r="27" spans="1:11" x14ac:dyDescent="0.3">
      <c r="A27" t="s">
        <v>25</v>
      </c>
      <c r="B27" t="s">
        <v>12</v>
      </c>
      <c r="C27">
        <v>12</v>
      </c>
      <c r="D27">
        <v>4305.6983467035698</v>
      </c>
      <c r="E27">
        <v>5044.8208710746703</v>
      </c>
      <c r="F27">
        <v>6.2427367423254996</v>
      </c>
      <c r="G27">
        <v>6.1986472495607003</v>
      </c>
      <c r="H27">
        <v>0.55473915148355801</v>
      </c>
      <c r="I27">
        <v>-279.97677803384897</v>
      </c>
      <c r="J27">
        <v>0.87657659217081996</v>
      </c>
      <c r="K27" t="b">
        <v>1</v>
      </c>
    </row>
    <row r="28" spans="1:11" x14ac:dyDescent="0.3">
      <c r="A28" t="s">
        <v>18</v>
      </c>
      <c r="B28" t="s">
        <v>12</v>
      </c>
      <c r="C28">
        <v>12</v>
      </c>
      <c r="D28">
        <v>2893.1220016280099</v>
      </c>
      <c r="E28">
        <v>3162.6366331549302</v>
      </c>
      <c r="F28">
        <v>6.4563552747033901</v>
      </c>
      <c r="G28">
        <v>6.2174050858305199</v>
      </c>
      <c r="H28">
        <v>-2.6584855219661199</v>
      </c>
      <c r="I28">
        <v>2893.1220016280099</v>
      </c>
      <c r="J28">
        <v>1.3715008245689799</v>
      </c>
      <c r="K28" t="b">
        <v>1</v>
      </c>
    </row>
    <row r="32" spans="1:11" x14ac:dyDescent="0.3">
      <c r="C32" t="s">
        <v>46</v>
      </c>
      <c r="D32" s="1">
        <f>AVERAGE(D2:D28)</f>
        <v>1286.9368855728151</v>
      </c>
      <c r="E32" s="1">
        <f t="shared" ref="E32:J32" si="0">AVERAGE(E2:E28)</f>
        <v>1586.9461606634709</v>
      </c>
      <c r="F32" s="1">
        <f t="shared" si="0"/>
        <v>3.1996066064271926</v>
      </c>
      <c r="G32" s="1">
        <f t="shared" si="0"/>
        <v>3.2130691216138443</v>
      </c>
      <c r="H32" s="1">
        <f t="shared" si="0"/>
        <v>0.12921957581545376</v>
      </c>
      <c r="I32" s="1">
        <f t="shared" si="0"/>
        <v>-61.848497013284153</v>
      </c>
      <c r="J32" s="1">
        <f t="shared" si="0"/>
        <v>0.70258542643673805</v>
      </c>
    </row>
    <row r="33" spans="3:10" x14ac:dyDescent="0.3">
      <c r="C33" t="s">
        <v>47</v>
      </c>
      <c r="D33">
        <f>MEDIAN(D2:D28)</f>
        <v>722.73120083717799</v>
      </c>
      <c r="E33">
        <f t="shared" ref="E33:J33" si="1">MEDIAN(E2:E28)</f>
        <v>912.75103848528397</v>
      </c>
      <c r="F33">
        <f t="shared" si="1"/>
        <v>2.9836766169265898</v>
      </c>
      <c r="G33">
        <f t="shared" si="1"/>
        <v>2.95234771205901</v>
      </c>
      <c r="H33">
        <f t="shared" si="1"/>
        <v>0.319889573713798</v>
      </c>
      <c r="I33">
        <f t="shared" si="1"/>
        <v>-87.778188291076404</v>
      </c>
      <c r="J33">
        <f t="shared" si="1"/>
        <v>0.61859803340393105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44BF-59F0-4FB1-89D4-8221DE2EDDE3}">
  <dimension ref="A1:K33"/>
  <sheetViews>
    <sheetView topLeftCell="A9" workbookViewId="0">
      <selection activeCell="F28" sqref="F22:F28"/>
    </sheetView>
  </sheetViews>
  <sheetFormatPr defaultColWidth="11.5546875" defaultRowHeight="14.4" x14ac:dyDescent="0.3"/>
  <cols>
    <col min="1" max="1" width="21.33203125" bestFit="1" customWidth="1"/>
    <col min="2" max="2" width="22.88671875" bestFit="1" customWidth="1"/>
    <col min="3" max="3" width="9.33203125" bestFit="1" customWidth="1"/>
    <col min="4" max="5" width="13.33203125" bestFit="1" customWidth="1"/>
    <col min="6" max="7" width="12" bestFit="1" customWidth="1"/>
    <col min="8" max="9" width="12.6640625" bestFit="1" customWidth="1"/>
    <col min="10" max="10" width="12" bestFit="1" customWidth="1"/>
    <col min="11" max="11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41</v>
      </c>
      <c r="C2">
        <v>12</v>
      </c>
      <c r="D2">
        <v>10076.528832136901</v>
      </c>
      <c r="E2">
        <v>11716.8473073974</v>
      </c>
      <c r="F2">
        <v>3.5318963840359099</v>
      </c>
      <c r="G2">
        <v>3.55688242884619</v>
      </c>
      <c r="H2">
        <v>0.23080588554577899</v>
      </c>
      <c r="I2">
        <v>-5114.9078665694396</v>
      </c>
      <c r="J2">
        <v>0.53908908731749206</v>
      </c>
      <c r="K2" t="b">
        <v>1</v>
      </c>
    </row>
    <row r="3" spans="1:11" x14ac:dyDescent="0.3">
      <c r="A3" t="s">
        <v>30</v>
      </c>
      <c r="B3" t="s">
        <v>41</v>
      </c>
      <c r="C3">
        <v>12</v>
      </c>
      <c r="D3">
        <v>1595.4726301784101</v>
      </c>
      <c r="E3">
        <v>1976.17450054082</v>
      </c>
      <c r="F3">
        <v>5.6793433464280696</v>
      </c>
      <c r="G3">
        <v>5.7165702845167496</v>
      </c>
      <c r="H3">
        <v>-5.31065608754351</v>
      </c>
      <c r="I3">
        <v>73.805461507338507</v>
      </c>
      <c r="J3">
        <v>2.2910343925569201</v>
      </c>
      <c r="K3" t="b">
        <v>1</v>
      </c>
    </row>
    <row r="4" spans="1:11" x14ac:dyDescent="0.3">
      <c r="A4" t="s">
        <v>18</v>
      </c>
      <c r="B4" t="s">
        <v>41</v>
      </c>
      <c r="C4">
        <v>12</v>
      </c>
      <c r="D4">
        <v>1384.82412007532</v>
      </c>
      <c r="E4">
        <v>1666.7598954718001</v>
      </c>
      <c r="F4">
        <v>7.4852189075698101</v>
      </c>
      <c r="G4">
        <v>7.8933439389895801</v>
      </c>
      <c r="H4">
        <v>-0.14911602054190301</v>
      </c>
      <c r="I4">
        <v>-1160.6627577915001</v>
      </c>
      <c r="J4">
        <v>0.77302273504291896</v>
      </c>
      <c r="K4" t="b">
        <v>1</v>
      </c>
    </row>
    <row r="5" spans="1:11" x14ac:dyDescent="0.3">
      <c r="A5" t="s">
        <v>23</v>
      </c>
      <c r="B5" t="s">
        <v>41</v>
      </c>
      <c r="C5">
        <v>12</v>
      </c>
      <c r="D5">
        <v>871.55471794539403</v>
      </c>
      <c r="E5">
        <v>1081.6970186537201</v>
      </c>
      <c r="F5">
        <v>8.3485132808210292</v>
      </c>
      <c r="G5">
        <v>7.91274530516701</v>
      </c>
      <c r="H5">
        <v>-2.1057085151163299</v>
      </c>
      <c r="I5">
        <v>621.97476102684902</v>
      </c>
      <c r="J5">
        <v>1.1876283039569899</v>
      </c>
      <c r="K5" t="b">
        <v>1</v>
      </c>
    </row>
    <row r="6" spans="1:11" x14ac:dyDescent="0.3">
      <c r="A6" t="s">
        <v>19</v>
      </c>
      <c r="B6" t="s">
        <v>41</v>
      </c>
      <c r="C6">
        <v>12</v>
      </c>
      <c r="D6">
        <v>377.57838039545402</v>
      </c>
      <c r="E6">
        <v>434.19722622332898</v>
      </c>
      <c r="F6">
        <v>8.3690517956610506</v>
      </c>
      <c r="G6">
        <v>8.6332699928450705</v>
      </c>
      <c r="H6">
        <v>-0.43539670043957601</v>
      </c>
      <c r="I6">
        <v>-112.15524430989301</v>
      </c>
      <c r="J6">
        <v>0.93371831033867403</v>
      </c>
      <c r="K6" t="b">
        <v>1</v>
      </c>
    </row>
    <row r="7" spans="1:11" x14ac:dyDescent="0.3">
      <c r="A7" t="s">
        <v>25</v>
      </c>
      <c r="B7" t="s">
        <v>41</v>
      </c>
      <c r="C7">
        <v>12</v>
      </c>
      <c r="D7">
        <v>1662.3359739571399</v>
      </c>
      <c r="E7">
        <v>1944.54905790514</v>
      </c>
      <c r="F7">
        <v>9.08541941286237</v>
      </c>
      <c r="G7">
        <v>8.6201568987452397</v>
      </c>
      <c r="H7">
        <v>0.37445796451720897</v>
      </c>
      <c r="I7">
        <v>1302.15212258869</v>
      </c>
      <c r="J7">
        <v>0.69343410915730896</v>
      </c>
      <c r="K7" t="b">
        <v>1</v>
      </c>
    </row>
    <row r="8" spans="1:11" x14ac:dyDescent="0.3">
      <c r="A8" t="s">
        <v>15</v>
      </c>
      <c r="B8" t="s">
        <v>41</v>
      </c>
      <c r="C8">
        <v>12</v>
      </c>
      <c r="D8">
        <v>1205.0619663585201</v>
      </c>
      <c r="E8">
        <v>1330.4131848039201</v>
      </c>
      <c r="F8">
        <v>9.1086588904735297</v>
      </c>
      <c r="G8">
        <v>9.1356145747572803</v>
      </c>
      <c r="H8">
        <v>-0.50076919442206203</v>
      </c>
      <c r="I8">
        <v>-201.68781277385099</v>
      </c>
      <c r="J8">
        <v>1.6347637107275199</v>
      </c>
      <c r="K8" t="b">
        <v>1</v>
      </c>
    </row>
    <row r="9" spans="1:11" x14ac:dyDescent="0.3">
      <c r="A9" t="s">
        <v>26</v>
      </c>
      <c r="B9" t="s">
        <v>41</v>
      </c>
      <c r="C9">
        <v>12</v>
      </c>
      <c r="D9">
        <v>794.52010627176298</v>
      </c>
      <c r="E9">
        <v>1197.61350794039</v>
      </c>
      <c r="F9">
        <v>9.1779470097194302</v>
      </c>
      <c r="G9">
        <v>8.2380071105239292</v>
      </c>
      <c r="H9">
        <v>-0.31933915272480001</v>
      </c>
      <c r="I9">
        <v>593.83598624494596</v>
      </c>
      <c r="J9">
        <v>0.86476059869383504</v>
      </c>
      <c r="K9" t="b">
        <v>1</v>
      </c>
    </row>
    <row r="10" spans="1:11" x14ac:dyDescent="0.3">
      <c r="A10" t="s">
        <v>32</v>
      </c>
      <c r="B10" t="s">
        <v>41</v>
      </c>
      <c r="C10">
        <v>12</v>
      </c>
      <c r="D10">
        <v>6588.1822849719301</v>
      </c>
      <c r="E10">
        <v>7258.3293683868797</v>
      </c>
      <c r="F10">
        <v>9.2489127403148199</v>
      </c>
      <c r="G10">
        <v>8.9441476103708393</v>
      </c>
      <c r="H10">
        <v>-0.17639536019797999</v>
      </c>
      <c r="I10">
        <v>2031.5934988470401</v>
      </c>
      <c r="J10">
        <v>1.13481031139987</v>
      </c>
      <c r="K10" t="b">
        <v>1</v>
      </c>
    </row>
    <row r="11" spans="1:11" x14ac:dyDescent="0.3">
      <c r="A11" t="s">
        <v>16</v>
      </c>
      <c r="B11" t="s">
        <v>41</v>
      </c>
      <c r="C11">
        <v>12</v>
      </c>
      <c r="D11">
        <v>1404.6042967809999</v>
      </c>
      <c r="E11">
        <v>1555.56455122224</v>
      </c>
      <c r="F11">
        <v>14.1427108217267</v>
      </c>
      <c r="G11">
        <v>13.8987243597877</v>
      </c>
      <c r="H11">
        <v>0.20756848749434101</v>
      </c>
      <c r="I11">
        <v>-8.4733619590204707</v>
      </c>
      <c r="J11">
        <v>1.1237737713228599</v>
      </c>
      <c r="K11" t="b">
        <v>1</v>
      </c>
    </row>
    <row r="12" spans="1:11" x14ac:dyDescent="0.3">
      <c r="A12" t="s">
        <v>21</v>
      </c>
      <c r="B12" t="s">
        <v>41</v>
      </c>
      <c r="C12">
        <v>12</v>
      </c>
      <c r="D12">
        <v>1163.66961368178</v>
      </c>
      <c r="E12">
        <v>1455.85101007351</v>
      </c>
      <c r="F12">
        <v>14.655936806355699</v>
      </c>
      <c r="G12">
        <v>14.6698939680859</v>
      </c>
      <c r="H12">
        <v>0.62417322359337701</v>
      </c>
      <c r="I12">
        <v>-418.01938972439399</v>
      </c>
      <c r="J12">
        <v>0.85352782597907595</v>
      </c>
      <c r="K12" t="b">
        <v>1</v>
      </c>
    </row>
    <row r="13" spans="1:11" x14ac:dyDescent="0.3">
      <c r="A13" t="s">
        <v>14</v>
      </c>
      <c r="B13" t="s">
        <v>41</v>
      </c>
      <c r="C13">
        <v>12</v>
      </c>
      <c r="D13">
        <v>141.728369253474</v>
      </c>
      <c r="E13">
        <v>168.40016229816499</v>
      </c>
      <c r="F13">
        <v>15.5033794021003</v>
      </c>
      <c r="G13">
        <v>17.2401712288287</v>
      </c>
      <c r="H13">
        <v>-2.27002830282352</v>
      </c>
      <c r="I13">
        <v>-141.728369253474</v>
      </c>
      <c r="J13">
        <v>1.8000096145305999</v>
      </c>
      <c r="K13" t="b">
        <v>1</v>
      </c>
    </row>
    <row r="14" spans="1:11" x14ac:dyDescent="0.3">
      <c r="A14" t="s">
        <v>22</v>
      </c>
      <c r="B14" t="s">
        <v>41</v>
      </c>
      <c r="C14">
        <v>12</v>
      </c>
      <c r="D14">
        <v>878.99061968267802</v>
      </c>
      <c r="E14">
        <v>1188.10538341346</v>
      </c>
      <c r="F14">
        <v>15.766576790052399</v>
      </c>
      <c r="G14">
        <v>13.6727162374721</v>
      </c>
      <c r="H14">
        <v>-1.7445361457975901</v>
      </c>
      <c r="I14">
        <v>806.12235488694398</v>
      </c>
      <c r="J14">
        <v>1.6838469897569699</v>
      </c>
      <c r="K14" t="b">
        <v>1</v>
      </c>
    </row>
    <row r="15" spans="1:11" x14ac:dyDescent="0.3">
      <c r="A15" t="s">
        <v>40</v>
      </c>
      <c r="B15" t="s">
        <v>41</v>
      </c>
      <c r="C15">
        <v>12</v>
      </c>
      <c r="D15">
        <v>309.27117839693102</v>
      </c>
      <c r="E15">
        <v>359.02922063448102</v>
      </c>
      <c r="F15">
        <v>16.647955508339201</v>
      </c>
      <c r="G15">
        <v>18.714377042752702</v>
      </c>
      <c r="H15">
        <v>-0.72313127301437097</v>
      </c>
      <c r="I15">
        <v>-290.686960715655</v>
      </c>
      <c r="J15">
        <v>1.29132680638176</v>
      </c>
      <c r="K15" t="b">
        <v>1</v>
      </c>
    </row>
    <row r="16" spans="1:11" x14ac:dyDescent="0.3">
      <c r="A16" t="s">
        <v>28</v>
      </c>
      <c r="B16" t="s">
        <v>41</v>
      </c>
      <c r="C16">
        <v>12</v>
      </c>
      <c r="D16">
        <v>596.85244227070996</v>
      </c>
      <c r="E16">
        <v>694.23521296853301</v>
      </c>
      <c r="F16">
        <v>17.1041494886903</v>
      </c>
      <c r="G16">
        <v>15.4908781698447</v>
      </c>
      <c r="H16">
        <v>-1.8501107434599899</v>
      </c>
      <c r="I16">
        <v>376.53364894894497</v>
      </c>
      <c r="J16">
        <v>2.2461723390044699</v>
      </c>
      <c r="K16" t="b">
        <v>1</v>
      </c>
    </row>
    <row r="17" spans="1:11" x14ac:dyDescent="0.3">
      <c r="A17" t="s">
        <v>20</v>
      </c>
      <c r="B17" t="s">
        <v>41</v>
      </c>
      <c r="C17">
        <v>12</v>
      </c>
      <c r="D17">
        <v>269.67053047153797</v>
      </c>
      <c r="E17">
        <v>313.113579575644</v>
      </c>
      <c r="F17">
        <v>17.582586922066401</v>
      </c>
      <c r="G17">
        <v>16.371791968490299</v>
      </c>
      <c r="H17">
        <v>0.43710910883216297</v>
      </c>
      <c r="I17">
        <v>-30.578028036314102</v>
      </c>
      <c r="J17">
        <v>1.00917375500583</v>
      </c>
      <c r="K17" t="b">
        <v>1</v>
      </c>
    </row>
    <row r="18" spans="1:11" x14ac:dyDescent="0.3">
      <c r="A18" t="s">
        <v>33</v>
      </c>
      <c r="B18" t="s">
        <v>41</v>
      </c>
      <c r="C18">
        <v>12</v>
      </c>
      <c r="D18">
        <v>362.110084595844</v>
      </c>
      <c r="E18">
        <v>453.98381243212401</v>
      </c>
      <c r="F18">
        <v>19.659314381544</v>
      </c>
      <c r="G18">
        <v>22.7331684643</v>
      </c>
      <c r="H18">
        <v>-0.95603862228390701</v>
      </c>
      <c r="I18">
        <v>-360.52167606275299</v>
      </c>
      <c r="J18">
        <v>1.45781516917398</v>
      </c>
      <c r="K18" t="b">
        <v>1</v>
      </c>
    </row>
    <row r="19" spans="1:11" x14ac:dyDescent="0.3">
      <c r="A19" t="s">
        <v>39</v>
      </c>
      <c r="B19" t="s">
        <v>41</v>
      </c>
      <c r="C19">
        <v>12</v>
      </c>
      <c r="D19">
        <v>7253.8639316318704</v>
      </c>
      <c r="E19">
        <v>7369.2998339429896</v>
      </c>
      <c r="F19">
        <v>21.647287712649</v>
      </c>
      <c r="G19">
        <v>19.4488623724794</v>
      </c>
      <c r="H19">
        <v>-12.1165957486386</v>
      </c>
      <c r="I19">
        <v>7253.8639316318704</v>
      </c>
      <c r="J19">
        <v>4.4311368917389098</v>
      </c>
      <c r="K19" t="b">
        <v>1</v>
      </c>
    </row>
    <row r="20" spans="1:11" x14ac:dyDescent="0.3">
      <c r="A20" t="s">
        <v>38</v>
      </c>
      <c r="B20" t="s">
        <v>41</v>
      </c>
      <c r="C20">
        <v>12</v>
      </c>
      <c r="D20">
        <v>754.954287113183</v>
      </c>
      <c r="E20">
        <v>987.951139150107</v>
      </c>
      <c r="F20">
        <v>21.7579953101265</v>
      </c>
      <c r="G20">
        <v>25.993926226417699</v>
      </c>
      <c r="H20">
        <v>-1.3781372449843201</v>
      </c>
      <c r="I20">
        <v>-718.66174196096597</v>
      </c>
      <c r="J20">
        <v>1.9685879440710801</v>
      </c>
      <c r="K20" t="b">
        <v>1</v>
      </c>
    </row>
    <row r="21" spans="1:11" x14ac:dyDescent="0.3">
      <c r="A21" t="s">
        <v>42</v>
      </c>
      <c r="B21" t="s">
        <v>41</v>
      </c>
      <c r="C21">
        <v>12</v>
      </c>
      <c r="D21">
        <v>248.300262711865</v>
      </c>
      <c r="E21">
        <v>290.19457537903702</v>
      </c>
      <c r="F21">
        <v>23.314377019592101</v>
      </c>
      <c r="G21">
        <v>27.2634900917677</v>
      </c>
      <c r="H21">
        <v>-2.7328622643286802</v>
      </c>
      <c r="I21">
        <v>-248.300262711865</v>
      </c>
      <c r="J21">
        <v>1.9952346416906499</v>
      </c>
      <c r="K21" t="b">
        <v>1</v>
      </c>
    </row>
    <row r="22" spans="1:11" x14ac:dyDescent="0.3">
      <c r="A22" t="s">
        <v>35</v>
      </c>
      <c r="B22" t="s">
        <v>41</v>
      </c>
      <c r="C22">
        <v>12</v>
      </c>
      <c r="D22">
        <v>1752.14060639376</v>
      </c>
      <c r="E22">
        <v>1801.63048843972</v>
      </c>
      <c r="F22">
        <v>25.509314120496999</v>
      </c>
      <c r="G22">
        <v>29.541564110986101</v>
      </c>
      <c r="H22">
        <v>-2.8055592652999599</v>
      </c>
      <c r="I22">
        <v>-1752.14060639376</v>
      </c>
      <c r="J22">
        <v>1.83285313480203</v>
      </c>
      <c r="K22" t="b">
        <v>1</v>
      </c>
    </row>
    <row r="23" spans="1:11" x14ac:dyDescent="0.3">
      <c r="A23" t="s">
        <v>37</v>
      </c>
      <c r="B23" t="s">
        <v>41</v>
      </c>
      <c r="C23">
        <v>12</v>
      </c>
      <c r="D23">
        <v>2520.6564650325599</v>
      </c>
      <c r="E23">
        <v>3182.7501551709802</v>
      </c>
      <c r="F23">
        <v>25.677502484617001</v>
      </c>
      <c r="G23">
        <v>29.630022875601899</v>
      </c>
      <c r="H23">
        <v>-0.38903364833748599</v>
      </c>
      <c r="I23">
        <v>-1773.40754874135</v>
      </c>
      <c r="J23">
        <v>1.3516906345383599</v>
      </c>
      <c r="K23" t="b">
        <v>1</v>
      </c>
    </row>
    <row r="24" spans="1:11" x14ac:dyDescent="0.3">
      <c r="A24" t="s">
        <v>13</v>
      </c>
      <c r="B24" t="s">
        <v>41</v>
      </c>
      <c r="C24">
        <v>12</v>
      </c>
      <c r="D24">
        <v>480.149923006552</v>
      </c>
      <c r="E24">
        <v>491.069770237618</v>
      </c>
      <c r="F24">
        <v>31.4686048059949</v>
      </c>
      <c r="G24">
        <v>37.524856616195102</v>
      </c>
      <c r="H24">
        <v>-18.152708720044</v>
      </c>
      <c r="I24">
        <v>-480.149923006552</v>
      </c>
      <c r="J24">
        <v>5.3773983235235301</v>
      </c>
      <c r="K24" t="b">
        <v>1</v>
      </c>
    </row>
    <row r="25" spans="1:11" x14ac:dyDescent="0.3">
      <c r="A25" t="s">
        <v>29</v>
      </c>
      <c r="B25" t="s">
        <v>41</v>
      </c>
      <c r="C25">
        <v>12</v>
      </c>
      <c r="D25">
        <v>17382.563258312199</v>
      </c>
      <c r="E25">
        <v>22304.096400545499</v>
      </c>
      <c r="F25">
        <v>37.931594135561603</v>
      </c>
      <c r="G25">
        <v>50.578331352641499</v>
      </c>
      <c r="H25">
        <v>-1.62359785106609</v>
      </c>
      <c r="I25">
        <v>-17382.563258312199</v>
      </c>
      <c r="J25">
        <v>3.4618039600827601</v>
      </c>
      <c r="K25" t="b">
        <v>1</v>
      </c>
    </row>
    <row r="26" spans="1:11" x14ac:dyDescent="0.3">
      <c r="A26" t="s">
        <v>24</v>
      </c>
      <c r="B26" t="s">
        <v>41</v>
      </c>
      <c r="C26">
        <v>12</v>
      </c>
      <c r="D26">
        <v>293.41559468129299</v>
      </c>
      <c r="E26">
        <v>312.35056834499102</v>
      </c>
      <c r="F26">
        <v>40.621656663003698</v>
      </c>
      <c r="G26">
        <v>51.919744188309103</v>
      </c>
      <c r="H26">
        <v>-10.739184810236001</v>
      </c>
      <c r="I26">
        <v>-293.41559468129299</v>
      </c>
      <c r="J26">
        <v>3.8098309814481</v>
      </c>
      <c r="K26" t="b">
        <v>1</v>
      </c>
    </row>
    <row r="27" spans="1:11" x14ac:dyDescent="0.3">
      <c r="A27" t="s">
        <v>27</v>
      </c>
      <c r="B27" t="s">
        <v>41</v>
      </c>
      <c r="C27">
        <v>12</v>
      </c>
      <c r="D27">
        <v>1210.7108958598201</v>
      </c>
      <c r="E27">
        <v>1814.2301560973799</v>
      </c>
      <c r="F27">
        <v>41.515427267791203</v>
      </c>
      <c r="G27">
        <v>63.452506066743297</v>
      </c>
      <c r="H27">
        <v>-0.95933818822922901</v>
      </c>
      <c r="I27">
        <v>-1210.7108958598201</v>
      </c>
      <c r="J27">
        <v>2.4706207407843501</v>
      </c>
      <c r="K27" t="b">
        <v>1</v>
      </c>
    </row>
    <row r="28" spans="1:11" x14ac:dyDescent="0.3">
      <c r="A28" t="s">
        <v>34</v>
      </c>
      <c r="B28" t="s">
        <v>41</v>
      </c>
      <c r="C28">
        <v>12</v>
      </c>
      <c r="D28">
        <v>7506.4206572560397</v>
      </c>
      <c r="E28">
        <v>8114.7710041237997</v>
      </c>
      <c r="F28">
        <v>62.931521153711401</v>
      </c>
      <c r="G28">
        <v>95.763911496718293</v>
      </c>
      <c r="H28">
        <v>-9.7742389231482996</v>
      </c>
      <c r="I28">
        <v>-7506.4206572560397</v>
      </c>
      <c r="J28">
        <v>7.1053079763676097</v>
      </c>
      <c r="K28" t="b">
        <v>1</v>
      </c>
    </row>
    <row r="32" spans="1:11" x14ac:dyDescent="0.3">
      <c r="C32" t="s">
        <v>46</v>
      </c>
      <c r="D32" s="1">
        <f>AVERAGE(D2:D28)</f>
        <v>2558.7456307194047</v>
      </c>
      <c r="E32" s="1">
        <f t="shared" ref="E32:J32" si="0">AVERAGE(E2:E28)</f>
        <v>3017.1558552360625</v>
      </c>
      <c r="F32" s="1">
        <f t="shared" si="0"/>
        <v>19.758253798603906</v>
      </c>
      <c r="G32" s="1">
        <f t="shared" si="0"/>
        <v>23.428136110451263</v>
      </c>
      <c r="H32" s="1">
        <f t="shared" si="0"/>
        <v>-2.7903099300998271</v>
      </c>
      <c r="I32" s="1">
        <f t="shared" si="0"/>
        <v>-968.34482186805621</v>
      </c>
      <c r="J32" s="1">
        <f t="shared" si="0"/>
        <v>2.0489767799775724</v>
      </c>
    </row>
    <row r="33" spans="3:10" x14ac:dyDescent="0.3">
      <c r="C33" t="s">
        <v>47</v>
      </c>
      <c r="D33">
        <f>MEDIAN(D2:D28)</f>
        <v>1163.66961368178</v>
      </c>
      <c r="E33">
        <f t="shared" ref="E33:J33" si="1">MEDIAN(E2:E28)</f>
        <v>1330.4131848039201</v>
      </c>
      <c r="F33">
        <f t="shared" si="1"/>
        <v>16.647955508339201</v>
      </c>
      <c r="G33">
        <f t="shared" si="1"/>
        <v>16.371791968490299</v>
      </c>
      <c r="H33">
        <f t="shared" si="1"/>
        <v>-0.95933818822922901</v>
      </c>
      <c r="I33">
        <f t="shared" si="1"/>
        <v>-248.300262711865</v>
      </c>
      <c r="J33">
        <f t="shared" si="1"/>
        <v>1.6347637107275199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CF27-612D-4B56-B037-88078C5313E2}">
  <dimension ref="A1:K32"/>
  <sheetViews>
    <sheetView topLeftCell="A8" workbookViewId="0">
      <selection activeCell="F28" sqref="F13:F28"/>
    </sheetView>
  </sheetViews>
  <sheetFormatPr defaultColWidth="11.5546875" defaultRowHeight="14.4" x14ac:dyDescent="0.3"/>
  <cols>
    <col min="1" max="2" width="21.33203125" bestFit="1" customWidth="1"/>
    <col min="3" max="3" width="9.33203125" bestFit="1" customWidth="1"/>
    <col min="4" max="7" width="12" bestFit="1" customWidth="1"/>
    <col min="8" max="9" width="12.6640625" bestFit="1" customWidth="1"/>
    <col min="10" max="10" width="12" bestFit="1" customWidth="1"/>
    <col min="11" max="11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16</v>
      </c>
      <c r="B2" t="s">
        <v>43</v>
      </c>
      <c r="C2">
        <v>12</v>
      </c>
      <c r="D2">
        <v>11.5742267212729</v>
      </c>
      <c r="E2">
        <v>12.9473446031196</v>
      </c>
      <c r="F2">
        <v>8.2422413718076992</v>
      </c>
      <c r="G2">
        <v>8.1395924802229001</v>
      </c>
      <c r="H2">
        <v>0.106727930068462</v>
      </c>
      <c r="I2">
        <v>-1.58986046206266</v>
      </c>
      <c r="J2">
        <v>0.78470265673441397</v>
      </c>
      <c r="K2" t="b">
        <v>1</v>
      </c>
    </row>
    <row r="3" spans="1:11" x14ac:dyDescent="0.3">
      <c r="A3" t="s">
        <v>20</v>
      </c>
      <c r="B3" t="s">
        <v>43</v>
      </c>
      <c r="C3">
        <v>12</v>
      </c>
      <c r="D3">
        <v>14.3999314798453</v>
      </c>
      <c r="E3">
        <v>18.392330600199202</v>
      </c>
      <c r="F3">
        <v>8.3052567598569809</v>
      </c>
      <c r="G3">
        <v>8.1280525704641207</v>
      </c>
      <c r="H3">
        <v>0.13508595354907901</v>
      </c>
      <c r="I3">
        <v>2.9068115775008998</v>
      </c>
      <c r="J3">
        <v>0.69490919219453695</v>
      </c>
      <c r="K3" t="b">
        <v>1</v>
      </c>
    </row>
    <row r="4" spans="1:11" x14ac:dyDescent="0.3">
      <c r="A4" t="s">
        <v>15</v>
      </c>
      <c r="B4" t="s">
        <v>43</v>
      </c>
      <c r="C4">
        <v>12</v>
      </c>
      <c r="D4">
        <v>25.585703513642802</v>
      </c>
      <c r="E4">
        <v>36.901054827542097</v>
      </c>
      <c r="F4">
        <v>10.344375896850099</v>
      </c>
      <c r="G4">
        <v>10.130189706377701</v>
      </c>
      <c r="H4">
        <v>-0.18235403919374699</v>
      </c>
      <c r="I4">
        <v>-1.1774854681081</v>
      </c>
      <c r="J4">
        <v>1.19746240415715</v>
      </c>
      <c r="K4" t="b">
        <v>1</v>
      </c>
    </row>
    <row r="5" spans="1:11" x14ac:dyDescent="0.3">
      <c r="A5" t="s">
        <v>30</v>
      </c>
      <c r="B5" t="s">
        <v>43</v>
      </c>
      <c r="C5">
        <v>12</v>
      </c>
      <c r="D5">
        <v>29.921734237752801</v>
      </c>
      <c r="E5">
        <v>39.511815386277</v>
      </c>
      <c r="F5">
        <v>10.837840059920801</v>
      </c>
      <c r="G5">
        <v>11.1426854225968</v>
      </c>
      <c r="H5">
        <v>0.38214923680959101</v>
      </c>
      <c r="I5">
        <v>-9.6897701778762997</v>
      </c>
      <c r="J5">
        <v>0.690264176958298</v>
      </c>
      <c r="K5" t="b">
        <v>1</v>
      </c>
    </row>
    <row r="6" spans="1:11" x14ac:dyDescent="0.3">
      <c r="A6" t="s">
        <v>11</v>
      </c>
      <c r="B6" t="s">
        <v>43</v>
      </c>
      <c r="C6">
        <v>12</v>
      </c>
      <c r="D6">
        <v>68.099966566469107</v>
      </c>
      <c r="E6">
        <v>88.716949312187793</v>
      </c>
      <c r="F6">
        <v>12.1395555983871</v>
      </c>
      <c r="G6">
        <v>11.2387380102441</v>
      </c>
      <c r="H6">
        <v>0.241977415918946</v>
      </c>
      <c r="I6">
        <v>23.729325698191499</v>
      </c>
      <c r="J6">
        <v>0.87144852588268396</v>
      </c>
      <c r="K6" t="b">
        <v>1</v>
      </c>
    </row>
    <row r="7" spans="1:11" x14ac:dyDescent="0.3">
      <c r="A7" t="s">
        <v>21</v>
      </c>
      <c r="B7" t="s">
        <v>43</v>
      </c>
      <c r="C7">
        <v>12</v>
      </c>
      <c r="D7">
        <v>71.735914188791895</v>
      </c>
      <c r="E7">
        <v>86.073394639208203</v>
      </c>
      <c r="F7">
        <v>16.9345389089336</v>
      </c>
      <c r="G7">
        <v>17.874813968922901</v>
      </c>
      <c r="H7">
        <v>6.24465522316466E-2</v>
      </c>
      <c r="I7">
        <v>-34.787817434109797</v>
      </c>
      <c r="J7">
        <v>0.78331176709891703</v>
      </c>
      <c r="K7" t="b">
        <v>1</v>
      </c>
    </row>
    <row r="8" spans="1:11" x14ac:dyDescent="0.3">
      <c r="A8" t="s">
        <v>22</v>
      </c>
      <c r="B8" t="s">
        <v>43</v>
      </c>
      <c r="C8">
        <v>12</v>
      </c>
      <c r="D8">
        <v>36.5921946038398</v>
      </c>
      <c r="E8">
        <v>46.929857831617298</v>
      </c>
      <c r="F8">
        <v>19.042953796526099</v>
      </c>
      <c r="G8">
        <v>17.017476242904198</v>
      </c>
      <c r="H8">
        <v>-7.25186692140221E-2</v>
      </c>
      <c r="I8">
        <v>10.2664576434005</v>
      </c>
      <c r="J8">
        <v>0.71361747550434496</v>
      </c>
      <c r="K8" t="b">
        <v>1</v>
      </c>
    </row>
    <row r="9" spans="1:11" x14ac:dyDescent="0.3">
      <c r="A9" t="s">
        <v>34</v>
      </c>
      <c r="B9" t="s">
        <v>43</v>
      </c>
      <c r="C9">
        <v>12</v>
      </c>
      <c r="D9">
        <v>41.0056872930545</v>
      </c>
      <c r="E9">
        <v>52.594176072960501</v>
      </c>
      <c r="F9">
        <v>19.4648984620978</v>
      </c>
      <c r="G9">
        <v>18.6632610903835</v>
      </c>
      <c r="H9">
        <v>0.60173152368711302</v>
      </c>
      <c r="I9">
        <v>11.5506103022455</v>
      </c>
      <c r="J9">
        <v>0.57278906584</v>
      </c>
      <c r="K9" t="b">
        <v>1</v>
      </c>
    </row>
    <row r="10" spans="1:11" x14ac:dyDescent="0.3">
      <c r="A10" t="s">
        <v>25</v>
      </c>
      <c r="B10" t="s">
        <v>43</v>
      </c>
      <c r="C10">
        <v>12</v>
      </c>
      <c r="D10">
        <v>28.527215583045699</v>
      </c>
      <c r="E10">
        <v>36.930368546386298</v>
      </c>
      <c r="F10">
        <v>19.951908361961301</v>
      </c>
      <c r="G10">
        <v>18.0047402451181</v>
      </c>
      <c r="H10">
        <v>0.105626516766491</v>
      </c>
      <c r="I10">
        <v>0.33585965393791201</v>
      </c>
      <c r="J10">
        <v>0.52916717298405502</v>
      </c>
      <c r="K10" t="b">
        <v>1</v>
      </c>
    </row>
    <row r="11" spans="1:11" x14ac:dyDescent="0.3">
      <c r="A11" t="s">
        <v>38</v>
      </c>
      <c r="B11" t="s">
        <v>43</v>
      </c>
      <c r="C11">
        <v>12</v>
      </c>
      <c r="D11">
        <v>8.2893404090883305</v>
      </c>
      <c r="E11">
        <v>10.184630500838599</v>
      </c>
      <c r="F11">
        <v>20.241239667225901</v>
      </c>
      <c r="G11">
        <v>20.416046286614499</v>
      </c>
      <c r="H11">
        <v>2.6402008196248099E-2</v>
      </c>
      <c r="I11">
        <v>-3.41587376849894</v>
      </c>
      <c r="J11">
        <v>0.52378546240375301</v>
      </c>
      <c r="K11" t="b">
        <v>1</v>
      </c>
    </row>
    <row r="12" spans="1:11" x14ac:dyDescent="0.3">
      <c r="A12" t="s">
        <v>39</v>
      </c>
      <c r="B12" t="s">
        <v>43</v>
      </c>
      <c r="C12">
        <v>12</v>
      </c>
      <c r="D12">
        <v>8.6681275438829903</v>
      </c>
      <c r="E12">
        <v>10.016343778520399</v>
      </c>
      <c r="F12">
        <v>21.347275349004001</v>
      </c>
      <c r="G12">
        <v>23.9911445171922</v>
      </c>
      <c r="H12">
        <v>-1.7693063842696699</v>
      </c>
      <c r="I12">
        <v>-7.5287354629532803</v>
      </c>
      <c r="J12">
        <v>1.4987290461799201</v>
      </c>
      <c r="K12" t="b">
        <v>1</v>
      </c>
    </row>
    <row r="13" spans="1:11" x14ac:dyDescent="0.3">
      <c r="A13" t="s">
        <v>23</v>
      </c>
      <c r="B13" t="s">
        <v>43</v>
      </c>
      <c r="C13">
        <v>12</v>
      </c>
      <c r="D13">
        <v>42.794420291197902</v>
      </c>
      <c r="E13">
        <v>51.378737352947802</v>
      </c>
      <c r="F13">
        <v>21.7406192011196</v>
      </c>
      <c r="G13">
        <v>18.8143849934761</v>
      </c>
      <c r="H13">
        <v>6.7462100715544301E-2</v>
      </c>
      <c r="I13">
        <v>4.6810767079060698</v>
      </c>
      <c r="J13">
        <v>0.58266012417989999</v>
      </c>
      <c r="K13" t="b">
        <v>1</v>
      </c>
    </row>
    <row r="14" spans="1:11" x14ac:dyDescent="0.3">
      <c r="A14" t="s">
        <v>27</v>
      </c>
      <c r="B14" t="s">
        <v>43</v>
      </c>
      <c r="C14">
        <v>12</v>
      </c>
      <c r="D14">
        <v>29.226879260935601</v>
      </c>
      <c r="E14">
        <v>35.629131631122497</v>
      </c>
      <c r="F14">
        <v>25.2669180246215</v>
      </c>
      <c r="G14">
        <v>26.932606478314199</v>
      </c>
      <c r="H14">
        <v>-1.0765299538009201</v>
      </c>
      <c r="I14">
        <v>-18.528333184321099</v>
      </c>
      <c r="J14">
        <v>1.1691633420513401</v>
      </c>
      <c r="K14" t="b">
        <v>1</v>
      </c>
    </row>
    <row r="15" spans="1:11" x14ac:dyDescent="0.3">
      <c r="A15" t="s">
        <v>32</v>
      </c>
      <c r="B15" t="s">
        <v>43</v>
      </c>
      <c r="C15">
        <v>12</v>
      </c>
      <c r="D15">
        <v>47.224040188127901</v>
      </c>
      <c r="E15">
        <v>54.4644582413354</v>
      </c>
      <c r="F15">
        <v>30.056016832965501</v>
      </c>
      <c r="G15">
        <v>35.263701047179197</v>
      </c>
      <c r="H15">
        <v>-1.2140676748605499</v>
      </c>
      <c r="I15">
        <v>-39.685348096642997</v>
      </c>
      <c r="J15">
        <v>1.3500152471137801</v>
      </c>
      <c r="K15" t="b">
        <v>1</v>
      </c>
    </row>
    <row r="16" spans="1:11" x14ac:dyDescent="0.3">
      <c r="A16" t="s">
        <v>42</v>
      </c>
      <c r="B16" t="s">
        <v>43</v>
      </c>
      <c r="C16">
        <v>12</v>
      </c>
      <c r="D16">
        <v>52.779036575635701</v>
      </c>
      <c r="E16">
        <v>62.889099058662602</v>
      </c>
      <c r="F16">
        <v>33.2857857792647</v>
      </c>
      <c r="G16">
        <v>74.811703463816102</v>
      </c>
      <c r="H16">
        <v>-0.16151960397750201</v>
      </c>
      <c r="I16">
        <v>13.838274023181601</v>
      </c>
      <c r="J16">
        <v>0.95650566569897599</v>
      </c>
      <c r="K16" t="b">
        <v>1</v>
      </c>
    </row>
    <row r="17" spans="1:11" x14ac:dyDescent="0.3">
      <c r="A17" t="s">
        <v>29</v>
      </c>
      <c r="B17" t="s">
        <v>43</v>
      </c>
      <c r="C17">
        <v>12</v>
      </c>
      <c r="D17">
        <v>8.8883512560918501</v>
      </c>
      <c r="E17">
        <v>10.592748929494499</v>
      </c>
      <c r="F17">
        <v>38.880577980328198</v>
      </c>
      <c r="G17">
        <v>33.873381292825897</v>
      </c>
      <c r="H17">
        <v>-2.4877748613878498E-3</v>
      </c>
      <c r="I17">
        <v>-1.6256270238056201</v>
      </c>
      <c r="J17">
        <v>0.62615981080972505</v>
      </c>
      <c r="K17" t="b">
        <v>1</v>
      </c>
    </row>
    <row r="18" spans="1:11" x14ac:dyDescent="0.3">
      <c r="A18" t="s">
        <v>24</v>
      </c>
      <c r="B18" t="s">
        <v>43</v>
      </c>
      <c r="C18">
        <v>12</v>
      </c>
      <c r="D18">
        <v>23.606350590629901</v>
      </c>
      <c r="E18">
        <v>27.666533718083201</v>
      </c>
      <c r="F18">
        <v>42.806698951374102</v>
      </c>
      <c r="G18">
        <v>68.931547400217198</v>
      </c>
      <c r="H18">
        <v>-0.32504977721956402</v>
      </c>
      <c r="I18">
        <v>-1.15700814233586</v>
      </c>
      <c r="J18">
        <v>0.66186796995652597</v>
      </c>
      <c r="K18" t="b">
        <v>1</v>
      </c>
    </row>
    <row r="19" spans="1:11" x14ac:dyDescent="0.3">
      <c r="A19" t="s">
        <v>18</v>
      </c>
      <c r="B19" t="s">
        <v>43</v>
      </c>
      <c r="C19">
        <v>12</v>
      </c>
      <c r="D19">
        <v>17.095949796767702</v>
      </c>
      <c r="E19">
        <v>19.997991464126599</v>
      </c>
      <c r="F19">
        <v>46.468881572081003</v>
      </c>
      <c r="G19">
        <v>48.117020999145502</v>
      </c>
      <c r="H19">
        <v>-0.68148969356951805</v>
      </c>
      <c r="I19">
        <v>-12.6742039324897</v>
      </c>
      <c r="J19">
        <v>0.82496565496887797</v>
      </c>
      <c r="K19" t="b">
        <v>1</v>
      </c>
    </row>
    <row r="20" spans="1:11" x14ac:dyDescent="0.3">
      <c r="A20" t="s">
        <v>35</v>
      </c>
      <c r="B20" t="s">
        <v>43</v>
      </c>
      <c r="C20">
        <v>12</v>
      </c>
      <c r="D20">
        <v>8.6704015229723908</v>
      </c>
      <c r="E20">
        <v>9.8148401779689198</v>
      </c>
      <c r="F20">
        <v>54.053688474969903</v>
      </c>
      <c r="G20">
        <v>47.538165318254897</v>
      </c>
      <c r="H20">
        <v>-2.8098605647940401E-2</v>
      </c>
      <c r="I20">
        <v>-0.86882320318410799</v>
      </c>
      <c r="J20">
        <v>0.61070319598185696</v>
      </c>
      <c r="K20" t="b">
        <v>1</v>
      </c>
    </row>
    <row r="21" spans="1:11" x14ac:dyDescent="0.3">
      <c r="A21" t="s">
        <v>37</v>
      </c>
      <c r="B21" t="s">
        <v>43</v>
      </c>
      <c r="C21">
        <v>12</v>
      </c>
      <c r="D21">
        <v>4.4849674970404996</v>
      </c>
      <c r="E21">
        <v>5.5159355151216802</v>
      </c>
      <c r="F21">
        <v>64.297844379873197</v>
      </c>
      <c r="G21">
        <v>40.110283009780602</v>
      </c>
      <c r="H21">
        <v>8.2415564128975896E-2</v>
      </c>
      <c r="I21">
        <v>-0.62054418219434904</v>
      </c>
      <c r="J21">
        <v>0.77761246263449002</v>
      </c>
      <c r="K21" t="b">
        <v>1</v>
      </c>
    </row>
    <row r="22" spans="1:11" x14ac:dyDescent="0.3">
      <c r="A22" t="s">
        <v>40</v>
      </c>
      <c r="B22" t="s">
        <v>43</v>
      </c>
      <c r="C22">
        <v>12</v>
      </c>
      <c r="D22">
        <v>22.369730655899101</v>
      </c>
      <c r="E22">
        <v>24.344932596769301</v>
      </c>
      <c r="F22">
        <v>79.587575407957303</v>
      </c>
      <c r="G22">
        <v>63.580354709230598</v>
      </c>
      <c r="H22">
        <v>-0.860811565661045</v>
      </c>
      <c r="I22">
        <v>-16.359095149038701</v>
      </c>
      <c r="J22">
        <v>1.0207947890406499</v>
      </c>
      <c r="K22" t="b">
        <v>1</v>
      </c>
    </row>
    <row r="23" spans="1:11" x14ac:dyDescent="0.3">
      <c r="A23" t="s">
        <v>28</v>
      </c>
      <c r="B23" t="s">
        <v>43</v>
      </c>
      <c r="C23">
        <v>12</v>
      </c>
      <c r="D23">
        <v>22.982779178629599</v>
      </c>
      <c r="E23">
        <v>28.5960828165755</v>
      </c>
      <c r="F23">
        <v>81.047592501701104</v>
      </c>
      <c r="G23">
        <v>38.660831078398999</v>
      </c>
      <c r="H23">
        <v>-8.1989628369489406E-2</v>
      </c>
      <c r="I23">
        <v>8.0486003937894992</v>
      </c>
      <c r="J23">
        <v>0.84916460641640001</v>
      </c>
      <c r="K23" t="b">
        <v>1</v>
      </c>
    </row>
    <row r="24" spans="1:11" x14ac:dyDescent="0.3">
      <c r="A24" t="s">
        <v>14</v>
      </c>
      <c r="B24" t="s">
        <v>43</v>
      </c>
      <c r="C24">
        <v>12</v>
      </c>
      <c r="D24">
        <v>35.4224102701194</v>
      </c>
      <c r="E24">
        <v>40.5532979410997</v>
      </c>
      <c r="F24">
        <v>96.891845791742597</v>
      </c>
      <c r="G24">
        <v>69.660624161466103</v>
      </c>
      <c r="H24">
        <v>-0.16795508175328899</v>
      </c>
      <c r="I24">
        <v>7.5097359675300703</v>
      </c>
      <c r="J24">
        <v>0.59368027939858004</v>
      </c>
      <c r="K24" t="b">
        <v>1</v>
      </c>
    </row>
    <row r="25" spans="1:11" x14ac:dyDescent="0.3">
      <c r="A25" t="s">
        <v>13</v>
      </c>
      <c r="B25" t="s">
        <v>43</v>
      </c>
      <c r="C25">
        <v>12</v>
      </c>
      <c r="D25">
        <v>22.976878183897998</v>
      </c>
      <c r="E25">
        <v>25.812833405341301</v>
      </c>
      <c r="F25">
        <v>185.63130410763301</v>
      </c>
      <c r="G25">
        <v>79.724073379841997</v>
      </c>
      <c r="H25">
        <v>-9.1267825839817601E-2</v>
      </c>
      <c r="I25">
        <v>8.0411783954006708</v>
      </c>
      <c r="J25">
        <v>0.59584596644946497</v>
      </c>
      <c r="K25" t="b">
        <v>1</v>
      </c>
    </row>
    <row r="26" spans="1:11" x14ac:dyDescent="0.3">
      <c r="A26" t="s">
        <v>26</v>
      </c>
      <c r="B26" t="s">
        <v>43</v>
      </c>
      <c r="C26">
        <v>12</v>
      </c>
      <c r="D26">
        <v>21.9022949494349</v>
      </c>
      <c r="E26">
        <v>30.442911087998699</v>
      </c>
      <c r="F26">
        <v>293.22584567075398</v>
      </c>
      <c r="G26">
        <v>182.071037701563</v>
      </c>
      <c r="H26">
        <v>-0.635122739212714</v>
      </c>
      <c r="I26">
        <v>-18.7322351079541</v>
      </c>
      <c r="J26">
        <v>0.68797180486689702</v>
      </c>
      <c r="K26" t="b">
        <v>1</v>
      </c>
    </row>
    <row r="27" spans="1:11" x14ac:dyDescent="0.3">
      <c r="A27" t="s">
        <v>33</v>
      </c>
      <c r="B27" t="s">
        <v>43</v>
      </c>
      <c r="C27">
        <v>12</v>
      </c>
      <c r="D27">
        <v>2.0559393045780401</v>
      </c>
      <c r="E27">
        <v>2.4681984227629301</v>
      </c>
      <c r="F27">
        <v>306.90370481403602</v>
      </c>
      <c r="G27">
        <v>76.896373393727004</v>
      </c>
      <c r="H27">
        <v>-0.51519697828432098</v>
      </c>
      <c r="I27">
        <v>0.52011552752367995</v>
      </c>
      <c r="J27">
        <v>0.83808654741757804</v>
      </c>
      <c r="K27" t="b">
        <v>1</v>
      </c>
    </row>
    <row r="28" spans="1:11" x14ac:dyDescent="0.3">
      <c r="A28" t="s">
        <v>19</v>
      </c>
      <c r="B28" t="s">
        <v>43</v>
      </c>
      <c r="C28">
        <v>12</v>
      </c>
      <c r="D28">
        <v>10.5621556694232</v>
      </c>
      <c r="E28">
        <v>11.7781354595451</v>
      </c>
      <c r="F28">
        <v>385.76981059420899</v>
      </c>
      <c r="G28">
        <v>102.95807587770101</v>
      </c>
      <c r="H28">
        <v>-0.123459058893507</v>
      </c>
      <c r="I28">
        <v>-4.5652713904348898</v>
      </c>
      <c r="J28">
        <v>0.61072587382057797</v>
      </c>
      <c r="K28" t="b">
        <v>1</v>
      </c>
    </row>
    <row r="31" spans="1:11" x14ac:dyDescent="0.3">
      <c r="C31" t="s">
        <v>46</v>
      </c>
      <c r="D31" s="1">
        <f>AVERAGE(D1:D27)</f>
        <v>27.187710448563248</v>
      </c>
      <c r="E31" s="1">
        <f t="shared" ref="E31:J31" si="0">AVERAGE(E1:E27)</f>
        <v>33.437153786856449</v>
      </c>
      <c r="F31" s="1">
        <f t="shared" si="0"/>
        <v>60.269114758576656</v>
      </c>
      <c r="G31" s="1">
        <f t="shared" si="0"/>
        <v>41.143570344933785</v>
      </c>
      <c r="H31" s="1">
        <f t="shared" si="0"/>
        <v>-0.23283619975628456</v>
      </c>
      <c r="I31" s="1">
        <f t="shared" si="0"/>
        <v>-2.9620274963449118</v>
      </c>
      <c r="J31" s="1">
        <f t="shared" si="0"/>
        <v>0.80789940049704301</v>
      </c>
    </row>
    <row r="32" spans="1:11" x14ac:dyDescent="0.3">
      <c r="C32" t="s">
        <v>47</v>
      </c>
      <c r="D32">
        <f>MEDIAN(D1:D27)</f>
        <v>23.29456488462975</v>
      </c>
      <c r="E32">
        <f t="shared" ref="E32:J32" si="1">MEDIAN(E1:E27)</f>
        <v>29.519496952287099</v>
      </c>
      <c r="F32">
        <f t="shared" si="1"/>
        <v>27.6614674287935</v>
      </c>
      <c r="G32">
        <f t="shared" si="1"/>
        <v>30.402993885570048</v>
      </c>
      <c r="H32">
        <f t="shared" si="1"/>
        <v>-7.7254148791755753E-2</v>
      </c>
      <c r="I32">
        <f t="shared" si="1"/>
        <v>-1.012915672759984</v>
      </c>
      <c r="J32">
        <f t="shared" si="1"/>
        <v>0.74561496906941749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A297B-BD15-417A-90BB-0FEBF4DA31F5}">
  <dimension ref="A1:K33"/>
  <sheetViews>
    <sheetView tabSelected="1" topLeftCell="A9" workbookViewId="0">
      <selection activeCell="O12" sqref="O12"/>
    </sheetView>
  </sheetViews>
  <sheetFormatPr defaultColWidth="11.5546875" defaultRowHeight="14.4" x14ac:dyDescent="0.3"/>
  <cols>
    <col min="1" max="1" width="21.33203125" bestFit="1" customWidth="1"/>
    <col min="2" max="2" width="11.5546875" bestFit="1" customWidth="1"/>
    <col min="3" max="3" width="9.33203125" bestFit="1" customWidth="1"/>
    <col min="4" max="4" width="13.33203125" bestFit="1" customWidth="1"/>
    <col min="5" max="5" width="14.33203125" bestFit="1" customWidth="1"/>
    <col min="6" max="7" width="12" bestFit="1" customWidth="1"/>
    <col min="8" max="8" width="12.6640625" bestFit="1" customWidth="1"/>
    <col min="9" max="9" width="14" bestFit="1" customWidth="1"/>
    <col min="10" max="10" width="12" bestFit="1" customWidth="1"/>
    <col min="11" max="11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30</v>
      </c>
      <c r="B2" t="s">
        <v>31</v>
      </c>
      <c r="C2">
        <v>12</v>
      </c>
      <c r="D2">
        <v>19500.539950010399</v>
      </c>
      <c r="E2">
        <v>22658.0116740872</v>
      </c>
      <c r="F2">
        <v>2.7447672538641901</v>
      </c>
      <c r="G2">
        <v>2.7162534851476701</v>
      </c>
      <c r="H2">
        <v>0.83100466616198299</v>
      </c>
      <c r="I2">
        <v>8645.3507507576105</v>
      </c>
      <c r="J2">
        <v>0.50319277933631301</v>
      </c>
      <c r="K2" t="b">
        <v>1</v>
      </c>
    </row>
    <row r="3" spans="1:11" x14ac:dyDescent="0.3">
      <c r="A3" t="s">
        <v>28</v>
      </c>
      <c r="B3" t="s">
        <v>31</v>
      </c>
      <c r="C3">
        <v>12</v>
      </c>
      <c r="D3">
        <v>4374.8525938338398</v>
      </c>
      <c r="E3">
        <v>6131.2756664426097</v>
      </c>
      <c r="F3">
        <v>2.94922981469561</v>
      </c>
      <c r="G3">
        <v>3.0090910662040602</v>
      </c>
      <c r="H3">
        <v>0.74028477563294304</v>
      </c>
      <c r="I3">
        <v>-1722.9869088067801</v>
      </c>
      <c r="J3">
        <v>0.70622354897093298</v>
      </c>
      <c r="K3" t="b">
        <v>1</v>
      </c>
    </row>
    <row r="4" spans="1:11" x14ac:dyDescent="0.3">
      <c r="A4" t="s">
        <v>19</v>
      </c>
      <c r="B4" t="s">
        <v>31</v>
      </c>
      <c r="C4">
        <v>12</v>
      </c>
      <c r="D4">
        <v>1318.6569944856701</v>
      </c>
      <c r="E4">
        <v>1483.8524371477199</v>
      </c>
      <c r="F4">
        <v>2.9856826961230798</v>
      </c>
      <c r="G4">
        <v>2.9725625909352602</v>
      </c>
      <c r="H4">
        <v>0.70416859463926895</v>
      </c>
      <c r="I4">
        <v>38.522920165003598</v>
      </c>
      <c r="J4">
        <v>0.51110937943510604</v>
      </c>
      <c r="K4" t="b">
        <v>1</v>
      </c>
    </row>
    <row r="5" spans="1:11" x14ac:dyDescent="0.3">
      <c r="A5" t="s">
        <v>23</v>
      </c>
      <c r="B5" t="s">
        <v>31</v>
      </c>
      <c r="C5">
        <v>12</v>
      </c>
      <c r="D5">
        <v>7916.5144064869801</v>
      </c>
      <c r="E5">
        <v>10726.519570389601</v>
      </c>
      <c r="F5">
        <v>3.1022582949445101</v>
      </c>
      <c r="G5">
        <v>3.0844359646271999</v>
      </c>
      <c r="H5">
        <v>0.78599839506492797</v>
      </c>
      <c r="I5">
        <v>-457.83145111592802</v>
      </c>
      <c r="J5">
        <v>0.68401973442680997</v>
      </c>
      <c r="K5" t="b">
        <v>1</v>
      </c>
    </row>
    <row r="6" spans="1:11" x14ac:dyDescent="0.3">
      <c r="A6" t="s">
        <v>25</v>
      </c>
      <c r="B6" t="s">
        <v>31</v>
      </c>
      <c r="C6">
        <v>12</v>
      </c>
      <c r="D6">
        <v>10359.508970908701</v>
      </c>
      <c r="E6">
        <v>13004.313567073399</v>
      </c>
      <c r="F6">
        <v>3.2331856392625999</v>
      </c>
      <c r="G6">
        <v>3.2635809179730502</v>
      </c>
      <c r="H6">
        <v>0.66045876222125799</v>
      </c>
      <c r="I6">
        <v>-4537.4669142036701</v>
      </c>
      <c r="J6">
        <v>0.52765431945220798</v>
      </c>
      <c r="K6" t="b">
        <v>1</v>
      </c>
    </row>
    <row r="7" spans="1:11" x14ac:dyDescent="0.3">
      <c r="A7" t="s">
        <v>39</v>
      </c>
      <c r="B7" t="s">
        <v>31</v>
      </c>
      <c r="C7">
        <v>12</v>
      </c>
      <c r="D7">
        <v>1133.6976447744701</v>
      </c>
      <c r="E7">
        <v>1428.5371779613699</v>
      </c>
      <c r="F7">
        <v>3.36656607601397</v>
      </c>
      <c r="G7">
        <v>3.41245264564099</v>
      </c>
      <c r="H7">
        <v>0.30799558091603102</v>
      </c>
      <c r="I7">
        <v>-393.01711031969199</v>
      </c>
      <c r="J7">
        <v>0.739565951046943</v>
      </c>
      <c r="K7" t="b">
        <v>1</v>
      </c>
    </row>
    <row r="8" spans="1:11" x14ac:dyDescent="0.3">
      <c r="A8" t="s">
        <v>33</v>
      </c>
      <c r="B8" t="s">
        <v>31</v>
      </c>
      <c r="C8">
        <v>12</v>
      </c>
      <c r="D8">
        <v>1248.9181556017099</v>
      </c>
      <c r="E8">
        <v>1480.07360223301</v>
      </c>
      <c r="F8">
        <v>3.7931087600593698</v>
      </c>
      <c r="G8">
        <v>3.71660630435073</v>
      </c>
      <c r="H8">
        <v>0.57998270422842801</v>
      </c>
      <c r="I8">
        <v>550.786120206551</v>
      </c>
      <c r="J8">
        <v>0.51065442555282703</v>
      </c>
      <c r="K8" t="b">
        <v>1</v>
      </c>
    </row>
    <row r="9" spans="1:11" x14ac:dyDescent="0.3">
      <c r="A9" t="s">
        <v>37</v>
      </c>
      <c r="B9" t="s">
        <v>31</v>
      </c>
      <c r="C9">
        <v>12</v>
      </c>
      <c r="D9">
        <v>1636.3337465603499</v>
      </c>
      <c r="E9">
        <v>1895.5779661586701</v>
      </c>
      <c r="F9">
        <v>3.8990162174385299</v>
      </c>
      <c r="G9">
        <v>3.8746871429992198</v>
      </c>
      <c r="H9">
        <v>0.53754031168820104</v>
      </c>
      <c r="I9">
        <v>108.385428740536</v>
      </c>
      <c r="J9">
        <v>0.60802395619292005</v>
      </c>
      <c r="K9" t="b">
        <v>1</v>
      </c>
    </row>
    <row r="10" spans="1:11" x14ac:dyDescent="0.3">
      <c r="A10" t="s">
        <v>11</v>
      </c>
      <c r="B10" t="s">
        <v>31</v>
      </c>
      <c r="C10">
        <v>12</v>
      </c>
      <c r="D10">
        <v>47921.365311412803</v>
      </c>
      <c r="E10">
        <v>60116.356042428801</v>
      </c>
      <c r="F10">
        <v>4.1464440431642897</v>
      </c>
      <c r="G10">
        <v>4.22072338757867</v>
      </c>
      <c r="H10">
        <v>0.73987340288006198</v>
      </c>
      <c r="I10">
        <v>-25560.859370619801</v>
      </c>
      <c r="J10">
        <v>0.54889959472011896</v>
      </c>
      <c r="K10" t="b">
        <v>1</v>
      </c>
    </row>
    <row r="11" spans="1:11" x14ac:dyDescent="0.3">
      <c r="A11" t="s">
        <v>40</v>
      </c>
      <c r="B11" t="s">
        <v>31</v>
      </c>
      <c r="C11">
        <v>12</v>
      </c>
      <c r="D11">
        <v>2930.84833197952</v>
      </c>
      <c r="E11">
        <v>3544.92847602643</v>
      </c>
      <c r="F11">
        <v>4.7103783730294104</v>
      </c>
      <c r="G11">
        <v>4.8660200673610703</v>
      </c>
      <c r="H11">
        <v>0.52633871367996699</v>
      </c>
      <c r="I11">
        <v>-2686.3507538395802</v>
      </c>
      <c r="J11">
        <v>0.67725880028993102</v>
      </c>
      <c r="K11" t="b">
        <v>1</v>
      </c>
    </row>
    <row r="12" spans="1:11" x14ac:dyDescent="0.3">
      <c r="A12" t="s">
        <v>29</v>
      </c>
      <c r="B12" t="s">
        <v>31</v>
      </c>
      <c r="C12">
        <v>12</v>
      </c>
      <c r="D12">
        <v>6390.4792401104996</v>
      </c>
      <c r="E12">
        <v>7375.5312309687097</v>
      </c>
      <c r="F12">
        <v>4.7214285413038901</v>
      </c>
      <c r="G12">
        <v>4.8191075721400498</v>
      </c>
      <c r="H12">
        <v>0.176629520311475</v>
      </c>
      <c r="I12">
        <v>-4040.9799111400998</v>
      </c>
      <c r="J12">
        <v>0.77352538518802505</v>
      </c>
      <c r="K12" t="b">
        <v>1</v>
      </c>
    </row>
    <row r="13" spans="1:11" x14ac:dyDescent="0.3">
      <c r="A13" t="s">
        <v>16</v>
      </c>
      <c r="B13" t="s">
        <v>31</v>
      </c>
      <c r="C13">
        <v>12</v>
      </c>
      <c r="D13">
        <v>12559.454302460999</v>
      </c>
      <c r="E13">
        <v>14883.522554724001</v>
      </c>
      <c r="F13">
        <v>4.7370300777416201</v>
      </c>
      <c r="G13">
        <v>4.7097954733876497</v>
      </c>
      <c r="H13">
        <v>4.7917839570286204E-3</v>
      </c>
      <c r="I13">
        <v>20.448719659102299</v>
      </c>
      <c r="J13">
        <v>0.56232129653804497</v>
      </c>
      <c r="K13" t="b">
        <v>1</v>
      </c>
    </row>
    <row r="14" spans="1:11" x14ac:dyDescent="0.3">
      <c r="A14" t="s">
        <v>38</v>
      </c>
      <c r="B14" t="s">
        <v>31</v>
      </c>
      <c r="C14">
        <v>12</v>
      </c>
      <c r="D14">
        <v>5172.5529557180198</v>
      </c>
      <c r="E14">
        <v>6359.15516505699</v>
      </c>
      <c r="F14">
        <v>4.7502230267397296</v>
      </c>
      <c r="G14">
        <v>4.58795218200805</v>
      </c>
      <c r="H14">
        <v>-7.7320665901361899E-2</v>
      </c>
      <c r="I14">
        <v>4312.3369970494196</v>
      </c>
      <c r="J14">
        <v>0.90281486109005804</v>
      </c>
      <c r="K14" t="b">
        <v>1</v>
      </c>
    </row>
    <row r="15" spans="1:11" x14ac:dyDescent="0.3">
      <c r="A15" t="s">
        <v>21</v>
      </c>
      <c r="B15" t="s">
        <v>31</v>
      </c>
      <c r="C15">
        <v>12</v>
      </c>
      <c r="D15">
        <v>18079.136183017799</v>
      </c>
      <c r="E15">
        <v>24320.954541785901</v>
      </c>
      <c r="F15">
        <v>4.8433230868018997</v>
      </c>
      <c r="G15">
        <v>5.0022130036365597</v>
      </c>
      <c r="H15">
        <v>0.76420104876709105</v>
      </c>
      <c r="I15">
        <v>-14087.577063680001</v>
      </c>
      <c r="J15">
        <v>0.36352175428623301</v>
      </c>
      <c r="K15" t="b">
        <v>1</v>
      </c>
    </row>
    <row r="16" spans="1:11" x14ac:dyDescent="0.3">
      <c r="A16" t="s">
        <v>27</v>
      </c>
      <c r="B16" t="s">
        <v>31</v>
      </c>
      <c r="C16">
        <v>12</v>
      </c>
      <c r="D16">
        <v>5051.1257326486302</v>
      </c>
      <c r="E16">
        <v>6057.0212528196598</v>
      </c>
      <c r="F16">
        <v>4.9610997900724696</v>
      </c>
      <c r="G16">
        <v>4.7921422153765496</v>
      </c>
      <c r="H16">
        <v>0.49859996037989801</v>
      </c>
      <c r="I16">
        <v>4620.9117921340103</v>
      </c>
      <c r="J16">
        <v>0.62053727639053002</v>
      </c>
      <c r="K16" t="b">
        <v>1</v>
      </c>
    </row>
    <row r="17" spans="1:11" x14ac:dyDescent="0.3">
      <c r="A17" t="s">
        <v>20</v>
      </c>
      <c r="B17" t="s">
        <v>31</v>
      </c>
      <c r="C17">
        <v>12</v>
      </c>
      <c r="D17">
        <v>8284.6258206692492</v>
      </c>
      <c r="E17">
        <v>11331.4737489535</v>
      </c>
      <c r="F17">
        <v>5.0423456725095299</v>
      </c>
      <c r="G17">
        <v>5.1205135622786297</v>
      </c>
      <c r="H17">
        <v>0.71894004515606003</v>
      </c>
      <c r="I17">
        <v>-3725.2044232834401</v>
      </c>
      <c r="J17">
        <v>0.46444947451084601</v>
      </c>
      <c r="K17" t="b">
        <v>1</v>
      </c>
    </row>
    <row r="18" spans="1:11" x14ac:dyDescent="0.3">
      <c r="A18" t="s">
        <v>34</v>
      </c>
      <c r="B18" t="s">
        <v>31</v>
      </c>
      <c r="C18">
        <v>12</v>
      </c>
      <c r="D18">
        <v>18149.700519289701</v>
      </c>
      <c r="E18">
        <v>23834.387708609</v>
      </c>
      <c r="F18">
        <v>5.0915689635849199</v>
      </c>
      <c r="G18">
        <v>5.2553471387549999</v>
      </c>
      <c r="H18">
        <v>0.59415955232658202</v>
      </c>
      <c r="I18">
        <v>-11920.7586799863</v>
      </c>
      <c r="J18">
        <v>0.487825318047588</v>
      </c>
      <c r="K18" t="b">
        <v>1</v>
      </c>
    </row>
    <row r="19" spans="1:11" x14ac:dyDescent="0.3">
      <c r="A19" t="s">
        <v>22</v>
      </c>
      <c r="B19" t="s">
        <v>31</v>
      </c>
      <c r="C19">
        <v>12</v>
      </c>
      <c r="D19">
        <v>16824.8433271461</v>
      </c>
      <c r="E19">
        <v>19399.9497765694</v>
      </c>
      <c r="F19">
        <v>5.34678004302841</v>
      </c>
      <c r="G19">
        <v>5.5306205084241098</v>
      </c>
      <c r="H19">
        <v>0.67786652941049197</v>
      </c>
      <c r="I19">
        <v>-15073.6211348902</v>
      </c>
      <c r="J19">
        <v>0.55832885261774201</v>
      </c>
      <c r="K19" t="b">
        <v>1</v>
      </c>
    </row>
    <row r="20" spans="1:11" x14ac:dyDescent="0.3">
      <c r="A20" t="s">
        <v>15</v>
      </c>
      <c r="B20" t="s">
        <v>31</v>
      </c>
      <c r="C20">
        <v>12</v>
      </c>
      <c r="D20">
        <v>29914.1297697763</v>
      </c>
      <c r="E20">
        <v>35300.890707052698</v>
      </c>
      <c r="F20">
        <v>5.4976587722782897</v>
      </c>
      <c r="G20">
        <v>5.4398280304349198</v>
      </c>
      <c r="H20">
        <v>0.28249128758421399</v>
      </c>
      <c r="I20">
        <v>5732.5350745114101</v>
      </c>
      <c r="J20">
        <v>0.59567960322980895</v>
      </c>
      <c r="K20" t="b">
        <v>1</v>
      </c>
    </row>
    <row r="21" spans="1:11" x14ac:dyDescent="0.3">
      <c r="A21" t="s">
        <v>18</v>
      </c>
      <c r="B21" t="s">
        <v>31</v>
      </c>
      <c r="C21">
        <v>12</v>
      </c>
      <c r="D21">
        <v>6992.1023612399104</v>
      </c>
      <c r="E21">
        <v>8800.8763919582398</v>
      </c>
      <c r="F21">
        <v>6.3546052597190599</v>
      </c>
      <c r="G21">
        <v>6.6837152050784798</v>
      </c>
      <c r="H21">
        <v>-0.270593504456134</v>
      </c>
      <c r="I21">
        <v>-6655.7917691356597</v>
      </c>
      <c r="J21">
        <v>1.32459611999119</v>
      </c>
      <c r="K21" t="b">
        <v>1</v>
      </c>
    </row>
    <row r="22" spans="1:11" x14ac:dyDescent="0.3">
      <c r="A22" t="s">
        <v>26</v>
      </c>
      <c r="B22" t="s">
        <v>31</v>
      </c>
      <c r="C22">
        <v>12</v>
      </c>
      <c r="D22">
        <v>6159.4894439749796</v>
      </c>
      <c r="E22">
        <v>7164.8374347356303</v>
      </c>
      <c r="F22">
        <v>6.7976730909474004</v>
      </c>
      <c r="G22">
        <v>6.9535257922178202</v>
      </c>
      <c r="H22">
        <v>-3.2964507881739102E-2</v>
      </c>
      <c r="I22">
        <v>-4032.9924061689599</v>
      </c>
      <c r="J22">
        <v>1.41334207477347</v>
      </c>
      <c r="K22" t="b">
        <v>1</v>
      </c>
    </row>
    <row r="23" spans="1:11" x14ac:dyDescent="0.3">
      <c r="A23" t="s">
        <v>35</v>
      </c>
      <c r="B23" t="s">
        <v>31</v>
      </c>
      <c r="C23">
        <v>12</v>
      </c>
      <c r="D23">
        <v>2586.7299640391798</v>
      </c>
      <c r="E23">
        <v>3069.3830075914002</v>
      </c>
      <c r="F23">
        <v>7.7110852328900004</v>
      </c>
      <c r="G23">
        <v>7.3015650632332303</v>
      </c>
      <c r="H23">
        <v>0.64784080947672396</v>
      </c>
      <c r="I23">
        <v>2482.3367753869702</v>
      </c>
      <c r="J23">
        <v>0.96313003584601298</v>
      </c>
      <c r="K23" t="b">
        <v>1</v>
      </c>
    </row>
    <row r="24" spans="1:11" x14ac:dyDescent="0.3">
      <c r="A24" t="s">
        <v>32</v>
      </c>
      <c r="B24" t="s">
        <v>31</v>
      </c>
      <c r="C24">
        <v>12</v>
      </c>
      <c r="D24">
        <v>17612.509358457501</v>
      </c>
      <c r="E24">
        <v>22375.927253551199</v>
      </c>
      <c r="F24">
        <v>8.0688892414931406</v>
      </c>
      <c r="G24">
        <v>7.5698326788068302</v>
      </c>
      <c r="H24">
        <v>-0.25582577167948201</v>
      </c>
      <c r="I24">
        <v>14355.1684931624</v>
      </c>
      <c r="J24">
        <v>1.2925683616775101</v>
      </c>
      <c r="K24" t="b">
        <v>1</v>
      </c>
    </row>
    <row r="25" spans="1:11" x14ac:dyDescent="0.3">
      <c r="A25" t="s">
        <v>24</v>
      </c>
      <c r="B25" t="s">
        <v>31</v>
      </c>
      <c r="C25">
        <v>12</v>
      </c>
      <c r="D25">
        <v>776.58218555466397</v>
      </c>
      <c r="E25">
        <v>895.643385883007</v>
      </c>
      <c r="F25">
        <v>8.8917262207266106</v>
      </c>
      <c r="G25">
        <v>9.2865319493586505</v>
      </c>
      <c r="H25">
        <v>-2.9846782681468599E-2</v>
      </c>
      <c r="I25">
        <v>-464.864560380787</v>
      </c>
      <c r="J25">
        <v>1.3884489371822699</v>
      </c>
      <c r="K25" t="b">
        <v>1</v>
      </c>
    </row>
    <row r="26" spans="1:11" x14ac:dyDescent="0.3">
      <c r="A26" t="s">
        <v>13</v>
      </c>
      <c r="B26" t="s">
        <v>31</v>
      </c>
      <c r="C26">
        <v>12</v>
      </c>
      <c r="D26">
        <v>7489.4676266441402</v>
      </c>
      <c r="E26">
        <v>8314.52469541551</v>
      </c>
      <c r="F26">
        <v>9.1661739621246205</v>
      </c>
      <c r="G26">
        <v>9.6122844913210805</v>
      </c>
      <c r="H26">
        <v>4.2472160554086397E-2</v>
      </c>
      <c r="I26">
        <v>-6047.92940289338</v>
      </c>
      <c r="J26">
        <v>1.46803145321864</v>
      </c>
      <c r="K26" t="b">
        <v>1</v>
      </c>
    </row>
    <row r="27" spans="1:11" x14ac:dyDescent="0.3">
      <c r="A27" t="s">
        <v>42</v>
      </c>
      <c r="B27" t="s">
        <v>31</v>
      </c>
      <c r="C27">
        <v>12</v>
      </c>
      <c r="D27">
        <v>3165.4066961160902</v>
      </c>
      <c r="E27">
        <v>3506.8055469115602</v>
      </c>
      <c r="F27">
        <v>18.924967692646401</v>
      </c>
      <c r="G27">
        <v>16.880429510676599</v>
      </c>
      <c r="H27">
        <v>-4.9931509698401898E-2</v>
      </c>
      <c r="I27">
        <v>3018.1030856759799</v>
      </c>
      <c r="J27">
        <v>1.7962848928469799</v>
      </c>
      <c r="K27" t="b">
        <v>1</v>
      </c>
    </row>
    <row r="28" spans="1:11" x14ac:dyDescent="0.3">
      <c r="A28" t="s">
        <v>14</v>
      </c>
      <c r="B28" t="s">
        <v>31</v>
      </c>
      <c r="C28">
        <v>12</v>
      </c>
      <c r="D28">
        <v>3276.9567889372101</v>
      </c>
      <c r="E28">
        <v>3552.4133693091098</v>
      </c>
      <c r="F28">
        <v>35.106563812609998</v>
      </c>
      <c r="G28">
        <v>28.866125065925701</v>
      </c>
      <c r="H28">
        <v>-1.2382995761253801</v>
      </c>
      <c r="I28">
        <v>3237.1798799992598</v>
      </c>
      <c r="J28">
        <v>2.3871501554651702</v>
      </c>
      <c r="K28" t="b">
        <v>1</v>
      </c>
    </row>
    <row r="32" spans="1:11" x14ac:dyDescent="0.3">
      <c r="C32" t="s">
        <v>46</v>
      </c>
      <c r="D32" s="1">
        <f>AVERAGE(D2:D28)</f>
        <v>9882.4640141427953</v>
      </c>
      <c r="E32" s="1">
        <f t="shared" ref="E32:J32" si="0">AVERAGE(E2:E28)</f>
        <v>12185.657183401639</v>
      </c>
      <c r="F32" s="1">
        <f t="shared" si="0"/>
        <v>6.7016214687338351</v>
      </c>
      <c r="G32" s="1">
        <f t="shared" si="0"/>
        <v>6.42770159318066</v>
      </c>
      <c r="H32" s="1">
        <f t="shared" si="0"/>
        <v>0.32840208468936122</v>
      </c>
      <c r="I32" s="1">
        <f t="shared" si="0"/>
        <v>-2010.5987341857783</v>
      </c>
      <c r="J32" s="1">
        <f t="shared" si="0"/>
        <v>0.86589475341941602</v>
      </c>
    </row>
    <row r="33" spans="3:10" x14ac:dyDescent="0.3">
      <c r="C33" t="s">
        <v>47</v>
      </c>
      <c r="D33">
        <f>MEDIAN(D2:D28)</f>
        <v>6390.4792401104996</v>
      </c>
      <c r="E33">
        <f t="shared" ref="E33:J33" si="1">MEDIAN(E2:E28)</f>
        <v>7375.5312309687097</v>
      </c>
      <c r="F33">
        <f t="shared" si="1"/>
        <v>4.8433230868018997</v>
      </c>
      <c r="G33">
        <f t="shared" si="1"/>
        <v>4.8660200673610703</v>
      </c>
      <c r="H33">
        <f t="shared" si="1"/>
        <v>0.52633871367996699</v>
      </c>
      <c r="I33">
        <f t="shared" si="1"/>
        <v>-457.83145111592802</v>
      </c>
      <c r="J33">
        <f t="shared" si="1"/>
        <v>0.67725880028993102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649B-707E-4CFC-995F-51402841B271}">
  <dimension ref="F4:N12"/>
  <sheetViews>
    <sheetView workbookViewId="0">
      <selection activeCell="I15" sqref="I15"/>
    </sheetView>
  </sheetViews>
  <sheetFormatPr defaultRowHeight="14.4" x14ac:dyDescent="0.3"/>
  <sheetData>
    <row r="4" spans="6:14" x14ac:dyDescent="0.3"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</row>
    <row r="5" spans="6:14" x14ac:dyDescent="0.3">
      <c r="F5" t="s">
        <v>48</v>
      </c>
      <c r="G5" t="s">
        <v>46</v>
      </c>
      <c r="H5" s="1">
        <v>3950.1509733282942</v>
      </c>
      <c r="I5" s="1">
        <v>4505.9484276913199</v>
      </c>
      <c r="J5" s="1">
        <v>15.268093288560662</v>
      </c>
      <c r="K5" s="1">
        <v>15.501098210737805</v>
      </c>
      <c r="L5" s="1">
        <v>-2.7483676362658267</v>
      </c>
      <c r="M5" s="1">
        <v>-693.30042856752436</v>
      </c>
      <c r="N5" s="1">
        <v>1.6807472134480261</v>
      </c>
    </row>
    <row r="6" spans="6:14" x14ac:dyDescent="0.3">
      <c r="G6" t="s">
        <v>47</v>
      </c>
      <c r="H6">
        <v>2583.6060301644152</v>
      </c>
      <c r="I6">
        <v>3098.7084328590454</v>
      </c>
      <c r="J6">
        <v>12.864242970085499</v>
      </c>
      <c r="K6">
        <v>13.856872639491449</v>
      </c>
      <c r="L6">
        <v>-1.6371747477393701</v>
      </c>
      <c r="M6">
        <v>-859.14372137584098</v>
      </c>
      <c r="N6">
        <v>1.5850935143244249</v>
      </c>
    </row>
    <row r="7" spans="6:14" x14ac:dyDescent="0.3">
      <c r="F7" t="s">
        <v>49</v>
      </c>
    </row>
    <row r="9" spans="6:14" x14ac:dyDescent="0.3">
      <c r="F9" t="s">
        <v>12</v>
      </c>
    </row>
    <row r="10" spans="6:14" x14ac:dyDescent="0.3">
      <c r="F10" t="s">
        <v>50</v>
      </c>
    </row>
    <row r="11" spans="6:14" x14ac:dyDescent="0.3">
      <c r="F11" t="s">
        <v>51</v>
      </c>
    </row>
    <row r="12" spans="6:14" x14ac:dyDescent="0.3">
      <c r="F1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 1</vt:lpstr>
      <vt:lpstr>Etanol</vt:lpstr>
      <vt:lpstr>Gasolina C</vt:lpstr>
      <vt:lpstr>GLP</vt:lpstr>
      <vt:lpstr>Querosene</vt:lpstr>
      <vt:lpstr>G Aviação</vt:lpstr>
      <vt:lpstr>Óleo Diesel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ivola</dc:creator>
  <cp:lastModifiedBy>Ivo Lavacek</cp:lastModifiedBy>
  <dcterms:created xsi:type="dcterms:W3CDTF">2025-11-12T05:09:59Z</dcterms:created>
  <dcterms:modified xsi:type="dcterms:W3CDTF">2025-11-18T22:23:57Z</dcterms:modified>
</cp:coreProperties>
</file>